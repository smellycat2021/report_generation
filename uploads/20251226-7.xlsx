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改列版" sheetId="2" r:id="rId5"/>
  </sheets>
  <definedNames/>
  <calcPr/>
  <extLst>
    <ext uri="GoogleSheetsCustomDataVersion2">
      <go:sheetsCustomData xmlns:go="http://customooxmlschemas.google.com/" r:id="rId6" roundtripDataChecksum="Xq+if2dzAzpvy9pnDBFWTqoVENZKypEe3ph5K1gAmBI="/>
    </ext>
  </extLst>
</workbook>
</file>

<file path=xl/sharedStrings.xml><?xml version="1.0" encoding="utf-8"?>
<sst xmlns="http://schemas.openxmlformats.org/spreadsheetml/2006/main" count="2757" uniqueCount="558">
  <si>
    <t>倉號</t>
  </si>
  <si>
    <t>品牌</t>
  </si>
  <si>
    <t>型番</t>
  </si>
  <si>
    <t>品名</t>
  </si>
  <si>
    <t>Pcs</t>
  </si>
  <si>
    <t>Price</t>
  </si>
  <si>
    <t>Total</t>
  </si>
  <si>
    <t>分類</t>
  </si>
  <si>
    <t>産地</t>
  </si>
  <si>
    <t>重量</t>
  </si>
  <si>
    <t>尺寸</t>
  </si>
  <si>
    <t>箱號</t>
  </si>
  <si>
    <t>下訂日</t>
  </si>
  <si>
    <t>備考1</t>
  </si>
  <si>
    <t>備考2</t>
  </si>
  <si>
    <t>JAN</t>
  </si>
  <si>
    <t>空行</t>
  </si>
  <si>
    <t>箱重量</t>
  </si>
  <si>
    <t>箱尺寸</t>
  </si>
  <si>
    <t>香港AOT-M</t>
  </si>
  <si>
    <t>TMT</t>
  </si>
  <si>
    <t>TMT-1875</t>
  </si>
  <si>
    <t>デカ乳オナホ 種沢まもり</t>
  </si>
  <si>
    <t>ADULT TOY</t>
  </si>
  <si>
    <t>JAPAN</t>
  </si>
  <si>
    <t>C/NO.39</t>
  </si>
  <si>
    <t>63*40*47</t>
  </si>
  <si>
    <t>TMT-1876</t>
  </si>
  <si>
    <t>デカ乳オナホ 種沢ななみ</t>
  </si>
  <si>
    <t>TMT-1877</t>
  </si>
  <si>
    <t>ふわモチ密着イリュージョン</t>
  </si>
  <si>
    <t>CHINA</t>
  </si>
  <si>
    <t>TMT-1874</t>
  </si>
  <si>
    <t>けもみみ娘とゆめふわスローライフ　ふわり</t>
  </si>
  <si>
    <t>TMAI-13</t>
  </si>
  <si>
    <t>AIVーアイヴー NO.13</t>
  </si>
  <si>
    <t>TMAI-12</t>
  </si>
  <si>
    <t>友達のママは僕のいいなりオナホ</t>
  </si>
  <si>
    <t>C/NO.40</t>
  </si>
  <si>
    <t>69*42*44</t>
  </si>
  <si>
    <t>FANTASTICBABY</t>
  </si>
  <si>
    <t>TOYR-033</t>
  </si>
  <si>
    <t>揉んでゾって　いなりコラボ（ＦＢ０２９）</t>
  </si>
  <si>
    <t>NPG</t>
  </si>
  <si>
    <t>OH-0862</t>
  </si>
  <si>
    <t>名器の証明ファイルNo.006　顔如憶</t>
  </si>
  <si>
    <t>RJ</t>
  </si>
  <si>
    <t>H0212</t>
  </si>
  <si>
    <t>ポロンコロン</t>
  </si>
  <si>
    <t>TH</t>
  </si>
  <si>
    <t>初々しい彼女</t>
  </si>
  <si>
    <t>C/NO.41</t>
  </si>
  <si>
    <t>OH-0808</t>
  </si>
  <si>
    <t>名器の証明 No.005 張篠雨 花顔柳腰</t>
  </si>
  <si>
    <t>C/NO.42</t>
  </si>
  <si>
    <t>C/NO.43</t>
  </si>
  <si>
    <t>48*40*22</t>
  </si>
  <si>
    <t>TMT-1716</t>
  </si>
  <si>
    <t>乳辱の檻～人妻捜査官・アツコ～</t>
  </si>
  <si>
    <t>C/NO.44~45</t>
  </si>
  <si>
    <t>55*41*27</t>
  </si>
  <si>
    <t>COOLP</t>
  </si>
  <si>
    <t>COLP-004</t>
  </si>
  <si>
    <t>性処理メイドのヌキヌキご奉仕（ＣＯＯＬＰ３）</t>
  </si>
  <si>
    <t>C/NO.46</t>
  </si>
  <si>
    <t>54*38*29</t>
  </si>
  <si>
    <t>COLP-016</t>
  </si>
  <si>
    <t>性処理メイドのヌキヌキご奉仕 ソフト（ＣＯＯＬＰ１６）</t>
  </si>
  <si>
    <t>C/NO.47</t>
  </si>
  <si>
    <t>53*35*20</t>
  </si>
  <si>
    <t>COLP-034</t>
  </si>
  <si>
    <t>VIRGIN BOYS(ドーテーボーイズ)</t>
  </si>
  <si>
    <t>C/NO.48</t>
  </si>
  <si>
    <t>44*35*18</t>
  </si>
  <si>
    <t>香港AOT-N</t>
  </si>
  <si>
    <t>OH-2914</t>
  </si>
  <si>
    <t>素人リアル つきちゃん</t>
  </si>
  <si>
    <t>C/NO.49</t>
  </si>
  <si>
    <t>OH-3201</t>
  </si>
  <si>
    <t>AVミニ名器 神木 麗</t>
  </si>
  <si>
    <t>OH-3258</t>
  </si>
  <si>
    <t>AVミニ名器 美谷朱里</t>
  </si>
  <si>
    <t>OH-3151</t>
  </si>
  <si>
    <t>AVミニ名器 山岸逢花</t>
  </si>
  <si>
    <t>OH-3460</t>
  </si>
  <si>
    <t>極嬢フェラ ディープスロート 橋本ありな</t>
  </si>
  <si>
    <t>OH-2853</t>
  </si>
  <si>
    <t>新 熟女の星 木下凛々子の淫部完全レプリカ</t>
  </si>
  <si>
    <t>HP</t>
  </si>
  <si>
    <t>hop187</t>
  </si>
  <si>
    <t>人妻なのにあなたの肉便器(オナホ)</t>
  </si>
  <si>
    <t>072LABO</t>
  </si>
  <si>
    <t>ONAN-012</t>
  </si>
  <si>
    <t>人妻黒タイツのつま先の香り（ＭＩＵ０３４９）</t>
  </si>
  <si>
    <t>LOTION</t>
  </si>
  <si>
    <t>ONAN-011</t>
  </si>
  <si>
    <t>ＯＬ黒タイツの足指の香り（ＭＩＵ０３４８）</t>
  </si>
  <si>
    <t>TMT-1724</t>
  </si>
  <si>
    <t>発情したJDの匂い</t>
  </si>
  <si>
    <t>OH-2913</t>
  </si>
  <si>
    <t>素人リアル まこちゃん</t>
  </si>
  <si>
    <t>C/NO.50</t>
  </si>
  <si>
    <t>51*40*35</t>
  </si>
  <si>
    <t>OH-3153</t>
  </si>
  <si>
    <t>AVミニ名器 神宮寺ナオ</t>
  </si>
  <si>
    <t>OH-3358</t>
  </si>
  <si>
    <t>新 熟女の星 山岸逢花の秘部完全レプリカ</t>
  </si>
  <si>
    <t>OH-3006</t>
  </si>
  <si>
    <t>真・名器 2 小野六花</t>
  </si>
  <si>
    <t>2024.06～漲價2867→3099</t>
  </si>
  <si>
    <t>LT-1656</t>
  </si>
  <si>
    <t>イク直前の素人臭い付きうぶ汁 つきちゃん 80ml</t>
  </si>
  <si>
    <t>C/NO.51</t>
  </si>
  <si>
    <t>41*31*26</t>
  </si>
  <si>
    <t>LT-0691</t>
  </si>
  <si>
    <t>風間ゆみの淫臭愛液ローション 200ml</t>
  </si>
  <si>
    <t>LT-1653</t>
  </si>
  <si>
    <t>おちゅくしメイドの唾液ローション 80ml</t>
  </si>
  <si>
    <t>C/NO.52</t>
  </si>
  <si>
    <t>2024.06～漲價1433→1555</t>
  </si>
  <si>
    <t>66*36*26</t>
  </si>
  <si>
    <t>OH-3157</t>
  </si>
  <si>
    <t>猫耳フェラにゃん 七沢みあ</t>
  </si>
  <si>
    <t>2024.06～漲價1654→1786</t>
  </si>
  <si>
    <t>OH-1026</t>
  </si>
  <si>
    <t>熟女の星 風間ゆみの陰部完全レプリカ</t>
  </si>
  <si>
    <t>OH-1917</t>
  </si>
  <si>
    <t>激フェラ バキューム AIKA</t>
  </si>
  <si>
    <t>C/NO.53</t>
  </si>
  <si>
    <t>53*34*21</t>
  </si>
  <si>
    <t>OH-3403</t>
  </si>
  <si>
    <t>あこがれの美少女ブルマ 現役編</t>
  </si>
  <si>
    <t>C/NO.54</t>
  </si>
  <si>
    <t>64*41*47</t>
  </si>
  <si>
    <t>2024.06～漲價507→549</t>
  </si>
  <si>
    <t>OH-3537</t>
  </si>
  <si>
    <t>AVミニ名器 石川澪</t>
  </si>
  <si>
    <t>OH-2407</t>
  </si>
  <si>
    <t>名器創生 里美ゆりあのきんちゃく編</t>
  </si>
  <si>
    <t>OH-2725</t>
  </si>
  <si>
    <t>萌えあがる誘惑若妻 完熟名器物語</t>
  </si>
  <si>
    <t>OH-3096</t>
  </si>
  <si>
    <t>新・名器の証明 ファイルNo.003 葵つかさ</t>
  </si>
  <si>
    <t>WILD ONE</t>
  </si>
  <si>
    <t>WAC-H049</t>
  </si>
  <si>
    <t>日本の名器　新村あかり</t>
  </si>
  <si>
    <t>LT-1892</t>
  </si>
  <si>
    <t>橋本ありなのAV名器汁ローション 80ml</t>
  </si>
  <si>
    <t>C/NO.55</t>
  </si>
  <si>
    <t>39*29*29</t>
  </si>
  <si>
    <t>LT-1737</t>
  </si>
  <si>
    <t>愛弓りょうの淫臭愛液ローション 80ml</t>
  </si>
  <si>
    <t>LT-1738</t>
  </si>
  <si>
    <t>神宮寺ナオの淫臭愛液ローション 80ml</t>
  </si>
  <si>
    <t>LT-1646</t>
  </si>
  <si>
    <t>市川京子の熟女の香りが匂う愛液ローション 80ml</t>
  </si>
  <si>
    <t>LT-1880</t>
  </si>
  <si>
    <t>淫乱美人妻発情汁 JULIA 80ml</t>
  </si>
  <si>
    <t>LT-1804</t>
  </si>
  <si>
    <t>水卜さくらの愛液ローション 改 80ml</t>
  </si>
  <si>
    <t>WAC-L007</t>
  </si>
  <si>
    <t xml:space="preserve">日本のローション　篠田ゆう　180ml </t>
  </si>
  <si>
    <t>WAC-L040</t>
  </si>
  <si>
    <t>日本のローション　楪カレン　180ml</t>
  </si>
  <si>
    <t>WAC-L042</t>
  </si>
  <si>
    <t>日本のローション　森沢かな　180ml</t>
  </si>
  <si>
    <t>香港AOT-D</t>
  </si>
  <si>
    <t>C/NO.56</t>
  </si>
  <si>
    <t>73*38*31</t>
  </si>
  <si>
    <t>OH-1079</t>
  </si>
  <si>
    <t>名器の証明ファイルNo.009 水咲ローラ</t>
  </si>
  <si>
    <t>hop177</t>
  </si>
  <si>
    <t>当確絶頂お〇ンコ激熱フィーバー!</t>
  </si>
  <si>
    <t>hop180</t>
  </si>
  <si>
    <t>わからせ鬼退治3　～挑発た遊戯に勃起ってないが!?～ </t>
  </si>
  <si>
    <t>hop98</t>
  </si>
  <si>
    <t>吸精魔王(ドレインデビル)～尻尾でしっぽり触手でしゅ～</t>
  </si>
  <si>
    <t>C/NO.57</t>
  </si>
  <si>
    <t>2024-４月調漲 1808→2117</t>
  </si>
  <si>
    <t>ME</t>
  </si>
  <si>
    <t>ギッチギチとろりっち</t>
  </si>
  <si>
    <t>極彩ウテルス MoonShot ムーンショット</t>
  </si>
  <si>
    <t>まどろむ妹あまねちゃん</t>
  </si>
  <si>
    <t>天使サマのねっとり極立体ヒダ</t>
  </si>
  <si>
    <t>ツレナイ妹あまねちゃん</t>
  </si>
  <si>
    <t>蠢²GAL～うごうごギャル～</t>
  </si>
  <si>
    <t>H0189</t>
  </si>
  <si>
    <t>ASURA-阿修羅-</t>
  </si>
  <si>
    <t>C/NO.58</t>
  </si>
  <si>
    <t>2025.06調漲 1350→1400</t>
  </si>
  <si>
    <t>48*38*41</t>
  </si>
  <si>
    <t>H0159</t>
  </si>
  <si>
    <t>悪魔快楽カオスターンハード</t>
  </si>
  <si>
    <t>2025.06調漲 1340→1390</t>
  </si>
  <si>
    <t>H0100</t>
  </si>
  <si>
    <t>天下一穴</t>
  </si>
  <si>
    <t>H0121</t>
  </si>
  <si>
    <t>天下一穴 狭まれ変化</t>
  </si>
  <si>
    <t>2025.06調漲 1510→1560</t>
  </si>
  <si>
    <t>H0185</t>
  </si>
  <si>
    <t>地雷系女子パンキーメッシュ</t>
  </si>
  <si>
    <t>2025.06調漲 1120→1170</t>
  </si>
  <si>
    <t>H0094</t>
  </si>
  <si>
    <t>ヴァージンループエイトロングハード</t>
  </si>
  <si>
    <t>2025.06調漲 1100→1150</t>
  </si>
  <si>
    <t>H0091</t>
  </si>
  <si>
    <t>ヤバイカラミティハード</t>
  </si>
  <si>
    <t>C/NO.59</t>
  </si>
  <si>
    <t>2025.06調漲 1000→1050</t>
  </si>
  <si>
    <t>47*43*43</t>
  </si>
  <si>
    <t>H0200</t>
  </si>
  <si>
    <t>がちこり性剛めがねっ娘ナースHARD</t>
  </si>
  <si>
    <t>2025.06調漲 1200→1250</t>
  </si>
  <si>
    <t>H0198</t>
  </si>
  <si>
    <t>がちこりロリつぼスパイクRUSHハード</t>
  </si>
  <si>
    <t>H0163</t>
  </si>
  <si>
    <t>肉壁カリブレイド</t>
  </si>
  <si>
    <t>2025.06調漲 560→610</t>
  </si>
  <si>
    <t>H0155</t>
  </si>
  <si>
    <t>淫輪エクストリーム</t>
  </si>
  <si>
    <t>2025.06調漲 1400→1450</t>
  </si>
  <si>
    <t>H0116</t>
  </si>
  <si>
    <t>ぬるぬる昇天リップルズ</t>
  </si>
  <si>
    <t>2025.06調漲 400→450</t>
  </si>
  <si>
    <t>H0119</t>
  </si>
  <si>
    <t>ポルチオブレイクスルー</t>
  </si>
  <si>
    <t>H0172</t>
  </si>
  <si>
    <t>ふわぬき性柔めがねっ娘ナース</t>
  </si>
  <si>
    <t>2025.06調漲 1460→1510</t>
  </si>
  <si>
    <t>H0058</t>
  </si>
  <si>
    <t>ふわちつイボリューション</t>
  </si>
  <si>
    <t>H0129</t>
  </si>
  <si>
    <t>ふわぐちゅVDD</t>
  </si>
  <si>
    <t>2025.06調漲 2240→2290</t>
  </si>
  <si>
    <t>H0199</t>
  </si>
  <si>
    <t>密着至極</t>
  </si>
  <si>
    <t>2025.06調漲 1750→1800</t>
  </si>
  <si>
    <t>H0118</t>
  </si>
  <si>
    <t>ヴァギナブリッツ</t>
  </si>
  <si>
    <t>TOYR-029</t>
  </si>
  <si>
    <t>ベリーベリーマングコーン（ＦＢ０２５）</t>
  </si>
  <si>
    <t>C/NO.60</t>
  </si>
  <si>
    <t>TOYR-034</t>
  </si>
  <si>
    <t>グルグル淫撃ねじ締め姉さん－二層エディション－（ＦＢ０３０）</t>
  </si>
  <si>
    <t>キテルキテル</t>
  </si>
  <si>
    <t>USDM-140</t>
  </si>
  <si>
    <t>幼馴染と朝までゆるふわお家ックス</t>
  </si>
  <si>
    <t>hop190</t>
  </si>
  <si>
    <t>The Wonderful Hazard of Od.胡夢</t>
  </si>
  <si>
    <t>超ギャル盛りバックローション</t>
  </si>
  <si>
    <t>香港AOT-Y</t>
  </si>
  <si>
    <t>OH-3347</t>
  </si>
  <si>
    <t>AVミニ名器 橋本ありな</t>
  </si>
  <si>
    <t>C/NO.61</t>
  </si>
  <si>
    <t>OH-3346</t>
  </si>
  <si>
    <t>AVミニ名器 橘メアリー</t>
  </si>
  <si>
    <t>C/NO.62~63</t>
  </si>
  <si>
    <t>67*40*41</t>
  </si>
  <si>
    <t>すじまんくぱぁEXバージンろりんこ</t>
  </si>
  <si>
    <t>C/NO.64</t>
  </si>
  <si>
    <t>MATE</t>
  </si>
  <si>
    <t>TOY-7301162</t>
  </si>
  <si>
    <t>僕の知らない先輩</t>
  </si>
  <si>
    <t>C/NO.65</t>
  </si>
  <si>
    <t>ハトプラ(EXE)</t>
  </si>
  <si>
    <t>UGAN-228</t>
  </si>
  <si>
    <t>エクセレントローションプラス　淫乱エキス配合タイプ　１５０ｍｌ</t>
  </si>
  <si>
    <t>C/NO.66</t>
  </si>
  <si>
    <t>2025.5～調漲 383→420</t>
  </si>
  <si>
    <t>41*34*27</t>
  </si>
  <si>
    <t>UGAN-132</t>
  </si>
  <si>
    <t>エクセレントローションプラス　さらさら洗い不要ﾀｲﾌﾟ　150ml</t>
  </si>
  <si>
    <t>2025.5～調漲 293→320</t>
  </si>
  <si>
    <t>香港AOT-E</t>
  </si>
  <si>
    <t>C/NO.67</t>
  </si>
  <si>
    <t>60*39*29</t>
  </si>
  <si>
    <t>其他1</t>
  </si>
  <si>
    <t>其他2</t>
  </si>
  <si>
    <t>其他3</t>
  </si>
  <si>
    <t>其他4</t>
  </si>
  <si>
    <t>改列用、削除しない</t>
  </si>
  <si>
    <r>
      <rPr>
        <rFont val="Meiryo UI"/>
        <color theme="1"/>
        <sz val="11.0"/>
      </rPr>
      <t>ADULT TOY＝自慰器
LOTION=</t>
    </r>
    <r>
      <rPr>
        <rFont val="Microsoft YaHei"/>
        <color theme="1"/>
        <sz val="11.0"/>
      </rPr>
      <t>润滑液</t>
    </r>
  </si>
  <si>
    <t>重量（实际为准）</t>
  </si>
  <si>
    <t>尺寸（实际为准）</t>
  </si>
  <si>
    <r>
      <rPr>
        <rFont val="Meiryo UI"/>
        <color rgb="FFFF0000"/>
        <sz val="11.0"/>
      </rPr>
      <t>改列</t>
    </r>
    <r>
      <rPr>
        <rFont val="Microsoft JhengHei"/>
        <color rgb="FFFF0000"/>
        <sz val="11.0"/>
      </rPr>
      <t>後削除</t>
    </r>
  </si>
  <si>
    <r>
      <rPr>
        <rFont val="Meiryo UI"/>
        <color rgb="FFFF0000"/>
        <sz val="11.0"/>
      </rPr>
      <t>改列</t>
    </r>
    <r>
      <rPr>
        <rFont val="Microsoft JhengHei"/>
        <color rgb="FFFF0000"/>
        <sz val="11.0"/>
      </rPr>
      <t>後削除</t>
    </r>
  </si>
  <si>
    <r>
      <rPr>
        <rFont val="Meiryo UI"/>
        <color rgb="FFFF0000"/>
        <sz val="11.0"/>
      </rPr>
      <t>改列</t>
    </r>
    <r>
      <rPr>
        <rFont val="Microsoft JhengHei"/>
        <color rgb="FFFF0000"/>
        <sz val="11.0"/>
      </rPr>
      <t>後削除</t>
    </r>
  </si>
  <si>
    <r>
      <rPr>
        <rFont val="Meiryo UI"/>
        <color rgb="FFFF0000"/>
        <sz val="11.0"/>
      </rPr>
      <t>改列</t>
    </r>
    <r>
      <rPr>
        <rFont val="Microsoft JhengHei"/>
        <color rgb="FFFF0000"/>
        <sz val="11.0"/>
      </rPr>
      <t>後削除</t>
    </r>
  </si>
  <si>
    <t>香港AOT-AK</t>
  </si>
  <si>
    <t>あほすたさん印の母乳ローション(Fake mother's milk Lubricant)</t>
  </si>
  <si>
    <t>C/NO.1</t>
  </si>
  <si>
    <t>41*36*25</t>
  </si>
  <si>
    <t>おなつゆ(onatsuyu)370ml</t>
  </si>
  <si>
    <t>香港AOT-A</t>
  </si>
  <si>
    <t>TMPR-063</t>
  </si>
  <si>
    <t>タマプレミアム人気作Wパック</t>
  </si>
  <si>
    <t>C/NO.2~3</t>
  </si>
  <si>
    <t>TAMS-1418</t>
  </si>
  <si>
    <t>デカ乳オナホ 種沢まもり　数量限定版</t>
  </si>
  <si>
    <t>C/NO.4</t>
  </si>
  <si>
    <t>TAMS-1419</t>
  </si>
  <si>
    <t>デカ乳オナホ 種沢ななみ 数量限定</t>
  </si>
  <si>
    <t>香港AOT-AX</t>
  </si>
  <si>
    <t>TAMS-1417</t>
  </si>
  <si>
    <t>けもみみ娘とゆめふわスローライフ　ふわり  数量限定版</t>
  </si>
  <si>
    <t>OH-3513</t>
  </si>
  <si>
    <t>名器の証明ファイル No.013 電動タイプ 田中レモン(充電池)</t>
  </si>
  <si>
    <t>ELECTRIC ADULT TOY</t>
  </si>
  <si>
    <t>11/19聯絡指示灯不亮、補填</t>
  </si>
  <si>
    <t>C/NO.5</t>
  </si>
  <si>
    <t>45*37*37</t>
  </si>
  <si>
    <t xml:space="preserve">秘境欲情(LUSTY SECRET) </t>
  </si>
  <si>
    <t>H0071</t>
  </si>
  <si>
    <t>膣天メッシュ2-回転の巻-</t>
  </si>
  <si>
    <t>C/NO.6</t>
  </si>
  <si>
    <t>レベル99 限界突破 エクストラバキューム</t>
  </si>
  <si>
    <t>レベル99 限界突破 ウルトラスクイーズ</t>
  </si>
  <si>
    <t>C/NO.7</t>
  </si>
  <si>
    <t>56*36*26</t>
  </si>
  <si>
    <t>OH-3407</t>
  </si>
  <si>
    <t>名器覚醒 田中レモン</t>
  </si>
  <si>
    <t>C/NO.8</t>
  </si>
  <si>
    <t>ハードカバーなトロトロ生膣マカロン</t>
  </si>
  <si>
    <t>C/NO.9</t>
  </si>
  <si>
    <t>65*40*47</t>
  </si>
  <si>
    <t>純潔 プレミア</t>
  </si>
  <si>
    <t>壁尻2　リアルミミズ千匹</t>
  </si>
  <si>
    <t>ラビアンローゼズ～La vie en ROSES～</t>
  </si>
  <si>
    <t>H0213</t>
  </si>
  <si>
    <t>杭打ちロォリーズ</t>
  </si>
  <si>
    <t>C/NO.10</t>
  </si>
  <si>
    <t>45*38*50</t>
  </si>
  <si>
    <t>ギャルゆいなちゃんのおっぱい</t>
  </si>
  <si>
    <t>12/16發售</t>
  </si>
  <si>
    <t>愛戯ing名器　月川ひな</t>
  </si>
  <si>
    <t>C/NO.11</t>
  </si>
  <si>
    <t>66*36*49</t>
  </si>
  <si>
    <t>シックス　タイプエフ（SI-XType.Ｆ)</t>
  </si>
  <si>
    <t>シックス　タイプアール（SI-XType.Ｒ)</t>
  </si>
  <si>
    <t>バブ密着(BA・BU・MI!! ～Sticky Type～)</t>
  </si>
  <si>
    <t>C/NO.12</t>
  </si>
  <si>
    <t>60*35*26</t>
  </si>
  <si>
    <t>メイドさんのご奉仕(Maid service)</t>
  </si>
  <si>
    <t>シックス　タイプジー（SI-XType.G)</t>
  </si>
  <si>
    <t xml:space="preserve">シックス タイプダブリュー（SI-X Type.W) </t>
  </si>
  <si>
    <t>ゼロ距離密着 ～むぎゅっと生ヒダ～</t>
  </si>
  <si>
    <t>UGAN-288</t>
  </si>
  <si>
    <t>ぷにあなミラクルSPDX</t>
  </si>
  <si>
    <t>C/NO.13</t>
  </si>
  <si>
    <t>2025.7調漲27900→29565</t>
  </si>
  <si>
    <t>68*42*31</t>
  </si>
  <si>
    <t>AO</t>
  </si>
  <si>
    <t>TOY-9901778</t>
  </si>
  <si>
    <t>丸飲み！ギャルロング</t>
  </si>
  <si>
    <t>C/NO.14</t>
  </si>
  <si>
    <t>67*44*29</t>
  </si>
  <si>
    <t>WORLD</t>
  </si>
  <si>
    <t>効瞬殺クリーム　他人妻【嬲（なぶる）</t>
  </si>
  <si>
    <t>ハトプラ(PPP)</t>
  </si>
  <si>
    <t>UPPP-039</t>
  </si>
  <si>
    <t>MAGICFACE2　ゆきかぜエディション</t>
  </si>
  <si>
    <t>2025.7調漲9180→9810</t>
  </si>
  <si>
    <t>即効瞬殺クリーム マゾ牝女 淫肛(いんこう)</t>
  </si>
  <si>
    <t>ルネGIFT</t>
  </si>
  <si>
    <t>TOY-0907026</t>
  </si>
  <si>
    <t xml:space="preserve">OVA今泉ん家はどうやらギャルの溜まり場になってるらしい ぱんてぃこれくしょん 浜崎リサ  </t>
  </si>
  <si>
    <t>CLOTHING</t>
  </si>
  <si>
    <t>TOY-0907023</t>
  </si>
  <si>
    <t>OVA今泉ん家はどうやらギャルの溜まり場になってるらしい ぱんてぃこれくしょん 浜崎レイナ</t>
  </si>
  <si>
    <t>TOY-0907025</t>
  </si>
  <si>
    <t>OVA今泉ん家はどうやらギャルの溜まり場になってるらしい ぱんてぃこれくしょん 胡桃坂ルリ</t>
  </si>
  <si>
    <t>TOY-0907024</t>
  </si>
  <si>
    <t>OVA今泉ん家はどうやらギャルの溜まり場になってるらしい ぱんてぃこれくしょん 佐々木ユキナ</t>
  </si>
  <si>
    <t>ONAN-071</t>
  </si>
  <si>
    <t>生配信中のＶＴｕｂｅｒのショーツの内側の香り（ＭＩＵ０４８７）</t>
  </si>
  <si>
    <t>ONAN-073</t>
  </si>
  <si>
    <t>歌のお姉さんの収録後のソックスの内側の香り（ＭＩＵ０４８９）</t>
  </si>
  <si>
    <t>AVS Collector's</t>
  </si>
  <si>
    <t>AVCG-010</t>
  </si>
  <si>
    <t>完墜姫泣漢力 赤貝姫殺ｸﾘｰﾑ</t>
  </si>
  <si>
    <t>C/NO.15</t>
  </si>
  <si>
    <t>AVCG-009</t>
  </si>
  <si>
    <t>超勃爆男魂力 赤貝漢起ｸﾘｰﾑ</t>
  </si>
  <si>
    <t>AVCG-011</t>
  </si>
  <si>
    <t>強制淫乱覚醒　赤貝発情capsule</t>
  </si>
  <si>
    <t>AVCG-014</t>
  </si>
  <si>
    <t>クリ覚醒絶頂　赤貝淫覚スクラブ配合クリーム</t>
  </si>
  <si>
    <t>WDKG-928</t>
  </si>
  <si>
    <t>床オナ式　渚いくののLOVE PAD</t>
  </si>
  <si>
    <t>AVCG-015</t>
  </si>
  <si>
    <t>乳頭感度覚醒　赤貝乳豆スクラブ配合クリーム</t>
  </si>
  <si>
    <t>UPPP-216</t>
  </si>
  <si>
    <t>超！ぷにっとりんぐ　デルタ　ソフト</t>
  </si>
  <si>
    <t>2025.7調漲720→770</t>
  </si>
  <si>
    <t>RUBY</t>
  </si>
  <si>
    <t>ROG-008</t>
  </si>
  <si>
    <t>催淫クリーム極　ＰＲＯ</t>
  </si>
  <si>
    <t>AVCG-022</t>
  </si>
  <si>
    <t>菊門柔軟メス穴化　赤貝菊門ほぐしクリーム</t>
  </si>
  <si>
    <t>AVCG-027</t>
  </si>
  <si>
    <t xml:space="preserve">菊門淫乱波状メス穴化　赤貝菊悶淫覚capsule </t>
  </si>
  <si>
    <t>T-BEST</t>
  </si>
  <si>
    <t>TBSP-219</t>
  </si>
  <si>
    <t>乳頭淫乱</t>
  </si>
  <si>
    <t>AVCG-031</t>
  </si>
  <si>
    <t>乳頭敏感超覚醒 ULTRA HARD 赤貝乳豆クリーム</t>
  </si>
  <si>
    <t>C/NO.16～18</t>
  </si>
  <si>
    <t>TOY-9901647</t>
  </si>
  <si>
    <t>おなほのあほすたさん</t>
  </si>
  <si>
    <t>C/NO.19</t>
  </si>
  <si>
    <t>69*42*36</t>
  </si>
  <si>
    <t>TOY-9901825</t>
  </si>
  <si>
    <t>ダブル淫パクト</t>
  </si>
  <si>
    <t>ヒロインセレクション 乱撃パラドックス</t>
  </si>
  <si>
    <t>ヒロインセレクション 挟撃プリーツ</t>
  </si>
  <si>
    <t>TOY-0903012</t>
  </si>
  <si>
    <t>催眠性指導 極上母娘汁シリーズ 玲奈&amp;麗華 Cool Beautyタイプ</t>
  </si>
  <si>
    <t>C/NO.20</t>
  </si>
  <si>
    <t>52*32*25</t>
  </si>
  <si>
    <t>TOY-0903013</t>
  </si>
  <si>
    <t>催眠性指導 極上母娘汁シリーズ 桜&amp;椿 Hot Beautyタイプ</t>
  </si>
  <si>
    <t>TMT-1358</t>
  </si>
  <si>
    <t>フェラ唾液ローション　1000ｍｌ</t>
  </si>
  <si>
    <t>C/NO.21</t>
  </si>
  <si>
    <t>36*28*27</t>
  </si>
  <si>
    <t>OH-3588</t>
  </si>
  <si>
    <t>吸った揉んだのおなほ～る 美園和花</t>
  </si>
  <si>
    <t>C/NO.22~24</t>
  </si>
  <si>
    <t>43*31*53</t>
  </si>
  <si>
    <t>OH-3612</t>
  </si>
  <si>
    <t>AVミニ名器 春陽モカ</t>
  </si>
  <si>
    <t>C/NO.25</t>
  </si>
  <si>
    <t>OH-3613</t>
  </si>
  <si>
    <t>AVミニ名器 美園和花</t>
  </si>
  <si>
    <t>桃太郎映像出版</t>
  </si>
  <si>
    <t>KBS-001</t>
  </si>
  <si>
    <t>初めて出逢った最強の美●女たち メロディー・雛・マークスです！（改）</t>
  </si>
  <si>
    <t>360 FETISH 潮SPLASH CORONA HARD</t>
  </si>
  <si>
    <t>C/NO.26</t>
  </si>
  <si>
    <t>外部的氣泡部分與細小的紋路（小刮痕），不會影響實際使用，
因此目前不列入補償或補件的範圍內。</t>
  </si>
  <si>
    <t>60*40*39</t>
  </si>
  <si>
    <t>360 FETISH 潮SPLASH GLANS HARD</t>
  </si>
  <si>
    <t>OH-3614</t>
  </si>
  <si>
    <t>AVミニ名器 宮下玲奈</t>
  </si>
  <si>
    <t>TOY-9901795</t>
  </si>
  <si>
    <t>まるごと小陰唇 ギャル</t>
  </si>
  <si>
    <t>TMT-1700</t>
  </si>
  <si>
    <t>発情した人妻の匂い</t>
  </si>
  <si>
    <t>C/NO.27</t>
  </si>
  <si>
    <t>Fillworks</t>
  </si>
  <si>
    <t>FW052</t>
  </si>
  <si>
    <t>にゃんにゃんギフテッド</t>
  </si>
  <si>
    <t xml:space="preserve">オンナノコの(i) </t>
  </si>
  <si>
    <t>UGAN-232</t>
  </si>
  <si>
    <t>ぷにあなSPDX ソフト</t>
  </si>
  <si>
    <t>2025.7調漲13750→14700</t>
  </si>
  <si>
    <t>アリスJAPAN</t>
  </si>
  <si>
    <t>ACJN-108</t>
  </si>
  <si>
    <t>Ｗヤリマンビッチに左右の乳首を犯されまくるチクイキ搾精吸着カップ(充電池)</t>
  </si>
  <si>
    <t>TOY-9903098</t>
  </si>
  <si>
    <t>子宮分泌液</t>
  </si>
  <si>
    <t>C/NO.28～29</t>
  </si>
  <si>
    <t>40*39*14</t>
  </si>
  <si>
    <t>ハトプラ</t>
  </si>
  <si>
    <t>UHTP-016</t>
  </si>
  <si>
    <t xml:space="preserve">KUU-SOU ULTRASOFT onepoint　改 </t>
  </si>
  <si>
    <t>C/NO.30</t>
  </si>
  <si>
    <t>2025.5～調漲 3160→3740</t>
  </si>
  <si>
    <t>39*39*25</t>
  </si>
  <si>
    <t>hop189</t>
  </si>
  <si>
    <t>おイキよ！触手艶舞</t>
  </si>
  <si>
    <t>C/NO.31</t>
  </si>
  <si>
    <t>CLOVR-084</t>
  </si>
  <si>
    <t>あなきゅん！</t>
  </si>
  <si>
    <t>C/NO.32</t>
  </si>
  <si>
    <t>MOUSOU-TOYS</t>
  </si>
  <si>
    <t>MSTC-016</t>
  </si>
  <si>
    <t xml:space="preserve">あなたが望むなら「浅井佳織」　ホール </t>
  </si>
  <si>
    <t>KICCI</t>
  </si>
  <si>
    <t>KICC-002</t>
  </si>
  <si>
    <t>学園ＮＯ．１アイドルＢＯＩＮＧ！！！</t>
  </si>
  <si>
    <t>USDM-100</t>
  </si>
  <si>
    <t>半熟サキュバス外伝　サキュ手裏剣オメガ　ハイブリッド超進化！風撃招来ＥＸハードタイプ</t>
  </si>
  <si>
    <t>PSJ(PLESURE STIMULATOR JAPAN)</t>
  </si>
  <si>
    <t>PHLD-010</t>
  </si>
  <si>
    <t>恥ずかしがり屋な彼女は　ふわやわ（ＱＵＡＤ００５）</t>
  </si>
  <si>
    <t>UHTP-056</t>
  </si>
  <si>
    <t>生 HON-MONO</t>
  </si>
  <si>
    <t>2025.5～調漲 1992→2170</t>
  </si>
  <si>
    <t>hop179</t>
  </si>
  <si>
    <t>ネトラレオイルエステ 濃厚密着油美容寝取深淋巴按摩</t>
  </si>
  <si>
    <t>MSTY-014</t>
  </si>
  <si>
    <t>幼なじみの発育がﾀﾏらない</t>
  </si>
  <si>
    <t>MSTY-015</t>
  </si>
  <si>
    <t>幼なじみの発育が止まらない</t>
  </si>
  <si>
    <t>USDM-040</t>
  </si>
  <si>
    <t xml:space="preserve">ポンコツガーディアン Lv.4 セイレーン 鱗牙爆襲!ゾリゾリ突ハードタイプ </t>
  </si>
  <si>
    <t>USDM-116</t>
  </si>
  <si>
    <t>【FANZA独占販売】ポンコツガーディアンユニバース ユニコーンプレミアム肉厚ファビュラス</t>
  </si>
  <si>
    <t>ハトプラ(GPRO)</t>
  </si>
  <si>
    <t>UGPR-296</t>
  </si>
  <si>
    <t>【リニューアル】HON-MONO</t>
  </si>
  <si>
    <t>2025.5～調漲 1680→1860</t>
  </si>
  <si>
    <t>TOY-9901725</t>
  </si>
  <si>
    <t>えちえち膣バサミ</t>
  </si>
  <si>
    <t>C/NO.33</t>
  </si>
  <si>
    <t>G-19 リアリティ(G-19 Reality)</t>
  </si>
  <si>
    <t>TOY-9901754</t>
  </si>
  <si>
    <t>黒ギャルの絶頂フェラ天国</t>
  </si>
  <si>
    <t>TOY-0901072</t>
  </si>
  <si>
    <t>OVA今泉ん家はどうやらギャルの溜まり場になってるらしい 浜崎リサ</t>
  </si>
  <si>
    <t>TOY-0901069</t>
  </si>
  <si>
    <t>OVA今泉ん家はどうやらギャルの溜まり場になってるらしい 浜崎レイナSP</t>
  </si>
  <si>
    <t>TOY-0901071</t>
  </si>
  <si>
    <t>OVA今泉ん家はどうやらギャルの溜まり場になってるらしい 胡桃坂ルリSP</t>
  </si>
  <si>
    <t>TOY-0901070</t>
  </si>
  <si>
    <t>OVA今泉ん家はどうやらギャルの溜まり場になってるらしい 佐々木ユキナSP</t>
  </si>
  <si>
    <t>WDKG-697</t>
  </si>
  <si>
    <t>ワールドウエルネス スーパーホットジェルforクリトリス</t>
  </si>
  <si>
    <t>H0076</t>
  </si>
  <si>
    <t>ヴァージンループエイトロング</t>
  </si>
  <si>
    <t>C/NO.34</t>
  </si>
  <si>
    <t>【極彩】Uterus ウテルス</t>
  </si>
  <si>
    <t>欲情ギミック　覚醒　トロまんSoftエディション</t>
  </si>
  <si>
    <t>UGAN-330</t>
  </si>
  <si>
    <t>ぷにあなロイドREAL(充電池)</t>
  </si>
  <si>
    <t>2025.7調漲5850→6165</t>
  </si>
  <si>
    <t>C/NO.35</t>
  </si>
  <si>
    <t>TAMS-1427</t>
  </si>
  <si>
    <t>後輩に、裏アカ女子がバレまして THE HOLE　数量限定版</t>
  </si>
  <si>
    <t>C/NO.36</t>
  </si>
  <si>
    <t>TAMS-1432</t>
  </si>
  <si>
    <t>長乳ニプルファック</t>
  </si>
  <si>
    <t>TMPR-064</t>
  </si>
  <si>
    <t>粒々肉厚ぼてヒダ名器の彼女とロール●ロイス性交</t>
  </si>
  <si>
    <t>処女くぱぁ</t>
  </si>
  <si>
    <t>TMT-1889</t>
  </si>
  <si>
    <t>ギャルズフィクション　神志那 葵の匂い</t>
  </si>
  <si>
    <t>C/NO.37</t>
  </si>
  <si>
    <t>43*30*20</t>
  </si>
  <si>
    <t>TMT-1888</t>
  </si>
  <si>
    <t>ギャルズフィクション　天利 ひまりの匂い</t>
  </si>
  <si>
    <t>TMT-1900</t>
  </si>
  <si>
    <t>ギャルズフィクション　東雲 すずの匂い</t>
  </si>
  <si>
    <t>LT-0593</t>
  </si>
  <si>
    <t>サラ淫臭ローション 200ml</t>
  </si>
  <si>
    <t>maccos japan</t>
  </si>
  <si>
    <t>M11495</t>
  </si>
  <si>
    <t>maccos 艶姿純情乙女</t>
  </si>
  <si>
    <t>C/NO.38</t>
  </si>
  <si>
    <t>61*41*41</t>
  </si>
  <si>
    <t>PT</t>
  </si>
  <si>
    <t>KIY135</t>
  </si>
  <si>
    <t>床オナ式名器-種付けプレス-HARD</t>
  </si>
  <si>
    <t>TMT-1879</t>
  </si>
  <si>
    <t>ゴールドフィンガー(充電池)</t>
  </si>
  <si>
    <t>20251223-1</t>
  </si>
  <si>
    <t>20251223-2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</si>
</sst>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_);[Red]\(#,##0\)"/>
    <numFmt numFmtId="165" formatCode="0_);[Red]\(0\)"/>
    <numFmt numFmtId="166" formatCode="yyyy&quot;年&quot;m&quot;月&quot;d&quot;日&quot;"/>
  </numFmts>
  <fonts count="5">
    <font>
      <sz val="11.0"/>
      <color theme="1"/>
      <name val="Calibri"/>
      <scheme val="minor"/>
    </font>
    <font>
      <sz val="11.0"/>
      <color theme="1"/>
      <name val="Meiryo"/>
    </font>
    <font>
      <sz val="11.0"/>
      <color rgb="FF000000"/>
      <name val="Meiryo"/>
    </font>
    <font>
      <sz val="11.0"/>
      <color theme="1"/>
      <name val="等线"/>
    </font>
    <font>
      <sz val="11.0"/>
      <color rgb="FFFF0000"/>
      <name val="Meiryo"/>
    </font>
  </fonts>
  <fills count="4">
    <fill>
      <patternFill patternType="none"/>
    </fill>
    <fill>
      <patternFill patternType="lightGray"/>
    </fill>
    <fill>
      <patternFill patternType="solid">
        <fgColor rgb="FF92D050"/>
        <bgColor rgb="FF92D050"/>
      </patternFill>
    </fill>
    <fill>
      <patternFill patternType="solid">
        <fgColor rgb="FFE2EFD9"/>
        <bgColor rgb="FFE2EFD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1" fillId="0" fontId="2" numFmtId="0" xfId="0" applyAlignment="1" applyBorder="1" applyFont="1">
      <alignment horizontal="left" vertical="center"/>
    </xf>
    <xf borderId="1" fillId="0" fontId="2" numFmtId="0" xfId="0" applyAlignment="1" applyBorder="1" applyFont="1">
      <alignment horizontal="center" vertical="center"/>
    </xf>
    <xf borderId="1" fillId="0" fontId="2" numFmtId="1" xfId="0" applyAlignment="1" applyBorder="1" applyFont="1" applyNumberFormat="1">
      <alignment horizontal="left" vertical="center"/>
    </xf>
    <xf borderId="1" fillId="0" fontId="2" numFmtId="0" xfId="0" applyAlignment="1" applyBorder="1" applyFont="1">
      <alignment vertical="center"/>
    </xf>
    <xf borderId="1" fillId="0" fontId="1" numFmtId="164" xfId="0" applyAlignment="1" applyBorder="1" applyFont="1" applyNumberFormat="1">
      <alignment vertical="center"/>
    </xf>
    <xf borderId="1" fillId="0" fontId="3" numFmtId="0" xfId="0" applyAlignment="1" applyBorder="1" applyFont="1">
      <alignment vertical="center"/>
    </xf>
    <xf borderId="1" fillId="0" fontId="1" numFmtId="165" xfId="0" applyAlignment="1" applyBorder="1" applyFont="1" applyNumberFormat="1">
      <alignment horizontal="center" vertical="center"/>
    </xf>
    <xf borderId="1" fillId="0" fontId="2" numFmtId="166" xfId="0" applyAlignment="1" applyBorder="1" applyFont="1" applyNumberFormat="1">
      <alignment horizontal="center" vertical="center"/>
    </xf>
    <xf borderId="1" fillId="0" fontId="1" numFmtId="0" xfId="0" applyAlignment="1" applyBorder="1" applyFont="1">
      <alignment vertical="center"/>
    </xf>
    <xf borderId="1" fillId="0" fontId="1" numFmtId="0" xfId="0" applyAlignment="1" applyBorder="1" applyFont="1">
      <alignment horizontal="center" vertical="center"/>
    </xf>
    <xf borderId="0" fillId="0" fontId="1" numFmtId="0" xfId="0" applyAlignment="1" applyFont="1">
      <alignment vertical="center"/>
    </xf>
    <xf borderId="1" fillId="3" fontId="4" numFmtId="0" xfId="0" applyAlignment="1" applyBorder="1" applyFill="1" applyFont="1">
      <alignment vertical="center"/>
    </xf>
    <xf borderId="1" fillId="3" fontId="1" numFmtId="0" xfId="0" applyAlignment="1" applyBorder="1" applyFont="1">
      <alignment vertical="center"/>
    </xf>
    <xf borderId="1" fillId="3" fontId="1" numFmtId="0" xfId="0" applyAlignment="1" applyBorder="1" applyFont="1">
      <alignment shrinkToFit="0" vertical="center" wrapText="1"/>
    </xf>
    <xf borderId="0" fillId="0" fontId="2" numFmtId="0" xfId="0" applyAlignment="1" applyFont="1">
      <alignment vertical="center"/>
    </xf>
    <xf borderId="1" fillId="0" fontId="4" numFmtId="0" xfId="0" applyAlignment="1" applyBorder="1" applyFont="1">
      <alignment vertical="center"/>
    </xf>
    <xf borderId="0" fillId="0" fontId="4" numFmtId="0" xfId="0" applyAlignment="1" applyFont="1">
      <alignment vertical="center"/>
    </xf>
    <xf borderId="2" fillId="3" fontId="2" numFmtId="164" xfId="0" applyAlignment="1" applyBorder="1" applyFont="1" applyNumberFormat="1">
      <alignment horizontal="center" vertical="center"/>
    </xf>
    <xf borderId="2" fillId="3" fontId="2" numFmtId="0" xfId="0" applyAlignment="1" applyBorder="1" applyFont="1">
      <alignment vertical="center"/>
    </xf>
    <xf borderId="3" fillId="3" fontId="2" numFmtId="164" xfId="0" applyAlignment="1" applyBorder="1" applyFont="1" applyNumberFormat="1">
      <alignment horizontal="center" vertical="center"/>
    </xf>
    <xf borderId="0" fillId="0" fontId="2" numFmtId="0" xfId="0" applyAlignment="1" applyFont="1">
      <alignment horizontal="center" vertical="center"/>
    </xf>
    <xf borderId="4" fillId="2"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6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3" t="s">
        <v>20</v>
      </c>
      <c r="C2" s="4" t="s">
        <v>21</v>
      </c>
      <c r="D2" s="5" t="s">
        <v>22</v>
      </c>
      <c r="E2" s="3">
        <v>10.0</v>
      </c>
      <c r="F2" s="3">
        <v>1874.0</v>
      </c>
      <c r="G2" s="6">
        <f t="shared" ref="G2:G23" si="1">F2*E2</f>
        <v>18740</v>
      </c>
      <c r="H2" s="3" t="s">
        <v>23</v>
      </c>
      <c r="I2" s="5" t="s">
        <v>24</v>
      </c>
      <c r="J2" s="7"/>
      <c r="K2" s="7"/>
      <c r="L2" s="8" t="s">
        <v>25</v>
      </c>
      <c r="M2" s="9">
        <v>45964.0</v>
      </c>
      <c r="N2" s="5"/>
      <c r="O2" s="5"/>
      <c r="P2" s="4">
        <v>4.5897178777E12</v>
      </c>
      <c r="Q2" s="7"/>
      <c r="R2" s="10">
        <v>24.5</v>
      </c>
      <c r="S2" s="10" t="s">
        <v>26</v>
      </c>
    </row>
    <row r="3">
      <c r="A3" s="2" t="s">
        <v>19</v>
      </c>
      <c r="B3" s="3" t="s">
        <v>20</v>
      </c>
      <c r="C3" s="4" t="s">
        <v>27</v>
      </c>
      <c r="D3" s="5" t="s">
        <v>28</v>
      </c>
      <c r="E3" s="3">
        <v>10.0</v>
      </c>
      <c r="F3" s="3">
        <v>1874.0</v>
      </c>
      <c r="G3" s="6">
        <f t="shared" si="1"/>
        <v>18740</v>
      </c>
      <c r="H3" s="3" t="s">
        <v>23</v>
      </c>
      <c r="I3" s="5" t="s">
        <v>24</v>
      </c>
      <c r="J3" s="7"/>
      <c r="K3" s="7"/>
      <c r="L3" s="8" t="s">
        <v>25</v>
      </c>
      <c r="M3" s="9">
        <v>45964.0</v>
      </c>
      <c r="N3" s="5"/>
      <c r="O3" s="5"/>
      <c r="P3" s="4">
        <v>4.589717877724E12</v>
      </c>
      <c r="Q3" s="7"/>
      <c r="R3" s="10"/>
      <c r="S3" s="10"/>
    </row>
    <row r="4">
      <c r="A4" s="2" t="s">
        <v>19</v>
      </c>
      <c r="B4" s="3" t="s">
        <v>20</v>
      </c>
      <c r="C4" s="4" t="s">
        <v>29</v>
      </c>
      <c r="D4" s="5" t="s">
        <v>30</v>
      </c>
      <c r="E4" s="3">
        <v>2.0</v>
      </c>
      <c r="F4" s="3">
        <v>2867.0</v>
      </c>
      <c r="G4" s="6">
        <f t="shared" si="1"/>
        <v>5734</v>
      </c>
      <c r="H4" s="3" t="s">
        <v>23</v>
      </c>
      <c r="I4" s="5" t="s">
        <v>31</v>
      </c>
      <c r="J4" s="7"/>
      <c r="K4" s="7"/>
      <c r="L4" s="8" t="s">
        <v>25</v>
      </c>
      <c r="M4" s="9">
        <v>45974.0</v>
      </c>
      <c r="N4" s="5"/>
      <c r="O4" s="5"/>
      <c r="P4" s="4">
        <v>4.589717877731E12</v>
      </c>
      <c r="Q4" s="7"/>
      <c r="R4" s="10"/>
      <c r="S4" s="10"/>
    </row>
    <row r="5">
      <c r="A5" s="2" t="s">
        <v>19</v>
      </c>
      <c r="B5" s="3" t="s">
        <v>20</v>
      </c>
      <c r="C5" s="4" t="s">
        <v>32</v>
      </c>
      <c r="D5" s="5" t="s">
        <v>33</v>
      </c>
      <c r="E5" s="3">
        <v>5.0</v>
      </c>
      <c r="F5" s="3">
        <v>2205.0</v>
      </c>
      <c r="G5" s="6">
        <f t="shared" si="1"/>
        <v>11025</v>
      </c>
      <c r="H5" s="3" t="s">
        <v>23</v>
      </c>
      <c r="I5" s="5" t="s">
        <v>24</v>
      </c>
      <c r="J5" s="7"/>
      <c r="K5" s="7"/>
      <c r="L5" s="8" t="s">
        <v>25</v>
      </c>
      <c r="M5" s="9">
        <v>45964.0</v>
      </c>
      <c r="N5" s="5"/>
      <c r="O5" s="5"/>
      <c r="P5" s="4">
        <v>4.589717877687E12</v>
      </c>
      <c r="Q5" s="7"/>
      <c r="R5" s="10"/>
      <c r="S5" s="10"/>
    </row>
    <row r="6">
      <c r="A6" s="2" t="s">
        <v>19</v>
      </c>
      <c r="B6" s="3" t="s">
        <v>20</v>
      </c>
      <c r="C6" s="4" t="s">
        <v>34</v>
      </c>
      <c r="D6" s="5" t="s">
        <v>35</v>
      </c>
      <c r="E6" s="3">
        <v>5.0</v>
      </c>
      <c r="F6" s="3">
        <v>2095.0</v>
      </c>
      <c r="G6" s="6">
        <f t="shared" si="1"/>
        <v>10475</v>
      </c>
      <c r="H6" s="3" t="s">
        <v>23</v>
      </c>
      <c r="I6" s="5" t="s">
        <v>24</v>
      </c>
      <c r="J6" s="7"/>
      <c r="K6" s="7"/>
      <c r="L6" s="8" t="s">
        <v>25</v>
      </c>
      <c r="M6" s="9">
        <v>45974.0</v>
      </c>
      <c r="N6" s="5"/>
      <c r="O6" s="5"/>
      <c r="P6" s="4">
        <v>4.589717877816E12</v>
      </c>
      <c r="Q6" s="7"/>
      <c r="R6" s="10"/>
      <c r="S6" s="10"/>
    </row>
    <row r="7">
      <c r="A7" s="2" t="s">
        <v>19</v>
      </c>
      <c r="B7" s="3" t="s">
        <v>20</v>
      </c>
      <c r="C7" s="4" t="s">
        <v>36</v>
      </c>
      <c r="D7" s="5" t="s">
        <v>37</v>
      </c>
      <c r="E7" s="3">
        <v>5.0</v>
      </c>
      <c r="F7" s="3">
        <v>1874.0</v>
      </c>
      <c r="G7" s="6">
        <f t="shared" si="1"/>
        <v>9370</v>
      </c>
      <c r="H7" s="3" t="s">
        <v>23</v>
      </c>
      <c r="I7" s="5" t="s">
        <v>24</v>
      </c>
      <c r="J7" s="7"/>
      <c r="K7" s="7"/>
      <c r="L7" s="8" t="s">
        <v>25</v>
      </c>
      <c r="M7" s="9">
        <v>45974.0</v>
      </c>
      <c r="N7" s="5"/>
      <c r="O7" s="5"/>
      <c r="P7" s="4">
        <v>4.589717877748E12</v>
      </c>
      <c r="Q7" s="7"/>
      <c r="R7" s="10"/>
      <c r="S7" s="10"/>
    </row>
    <row r="8">
      <c r="A8" s="2" t="s">
        <v>19</v>
      </c>
      <c r="B8" s="3" t="s">
        <v>20</v>
      </c>
      <c r="C8" s="4" t="s">
        <v>29</v>
      </c>
      <c r="D8" s="5" t="s">
        <v>30</v>
      </c>
      <c r="E8" s="3">
        <v>3.0</v>
      </c>
      <c r="F8" s="3">
        <v>2867.0</v>
      </c>
      <c r="G8" s="6">
        <f t="shared" si="1"/>
        <v>8601</v>
      </c>
      <c r="H8" s="3" t="s">
        <v>23</v>
      </c>
      <c r="I8" s="5" t="s">
        <v>31</v>
      </c>
      <c r="J8" s="7"/>
      <c r="K8" s="7"/>
      <c r="L8" s="8" t="s">
        <v>38</v>
      </c>
      <c r="M8" s="9">
        <v>45974.0</v>
      </c>
      <c r="N8" s="5"/>
      <c r="O8" s="5"/>
      <c r="P8" s="4">
        <v>4.589717877731E12</v>
      </c>
      <c r="Q8" s="7"/>
      <c r="R8" s="10">
        <v>24.0</v>
      </c>
      <c r="S8" s="10" t="s">
        <v>39</v>
      </c>
    </row>
    <row r="9">
      <c r="A9" s="2" t="s">
        <v>19</v>
      </c>
      <c r="B9" s="3" t="s">
        <v>40</v>
      </c>
      <c r="C9" s="4" t="s">
        <v>41</v>
      </c>
      <c r="D9" s="5" t="s">
        <v>42</v>
      </c>
      <c r="E9" s="3">
        <v>10.0</v>
      </c>
      <c r="F9" s="3">
        <v>1400.0</v>
      </c>
      <c r="G9" s="6">
        <f t="shared" si="1"/>
        <v>14000</v>
      </c>
      <c r="H9" s="3" t="s">
        <v>23</v>
      </c>
      <c r="I9" s="5" t="s">
        <v>24</v>
      </c>
      <c r="J9" s="7"/>
      <c r="K9" s="7"/>
      <c r="L9" s="8" t="s">
        <v>38</v>
      </c>
      <c r="M9" s="9">
        <v>45964.0</v>
      </c>
      <c r="N9" s="5"/>
      <c r="O9" s="5"/>
      <c r="P9" s="4">
        <v>4.580490000408E12</v>
      </c>
      <c r="Q9" s="7"/>
      <c r="R9" s="10"/>
      <c r="S9" s="10"/>
    </row>
    <row r="10">
      <c r="A10" s="2" t="s">
        <v>19</v>
      </c>
      <c r="B10" s="3" t="s">
        <v>43</v>
      </c>
      <c r="C10" s="4" t="s">
        <v>44</v>
      </c>
      <c r="D10" s="5" t="s">
        <v>45</v>
      </c>
      <c r="E10" s="3">
        <v>1.0</v>
      </c>
      <c r="F10" s="3">
        <v>3308.0</v>
      </c>
      <c r="G10" s="6">
        <f t="shared" si="1"/>
        <v>3308</v>
      </c>
      <c r="H10" s="3" t="s">
        <v>23</v>
      </c>
      <c r="I10" s="5" t="s">
        <v>24</v>
      </c>
      <c r="J10" s="7"/>
      <c r="K10" s="7"/>
      <c r="L10" s="8" t="s">
        <v>38</v>
      </c>
      <c r="M10" s="9">
        <v>45989.0</v>
      </c>
      <c r="N10" s="5"/>
      <c r="O10" s="5"/>
      <c r="P10" s="4">
        <v>4.562160134415E12</v>
      </c>
      <c r="Q10" s="7"/>
      <c r="R10" s="10"/>
      <c r="S10" s="10"/>
    </row>
    <row r="11">
      <c r="A11" s="2" t="s">
        <v>19</v>
      </c>
      <c r="B11" s="3" t="s">
        <v>46</v>
      </c>
      <c r="C11" s="4" t="s">
        <v>47</v>
      </c>
      <c r="D11" s="5" t="s">
        <v>48</v>
      </c>
      <c r="E11" s="3">
        <v>1.0</v>
      </c>
      <c r="F11" s="3">
        <v>1400.0</v>
      </c>
      <c r="G11" s="6">
        <f t="shared" si="1"/>
        <v>1400</v>
      </c>
      <c r="H11" s="3" t="s">
        <v>23</v>
      </c>
      <c r="I11" s="5" t="s">
        <v>24</v>
      </c>
      <c r="J11" s="7"/>
      <c r="K11" s="7"/>
      <c r="L11" s="8" t="s">
        <v>38</v>
      </c>
      <c r="M11" s="9">
        <v>45999.0</v>
      </c>
      <c r="N11" s="5"/>
      <c r="O11" s="5"/>
      <c r="P11" s="4">
        <v>4.562309513798E12</v>
      </c>
      <c r="Q11" s="7"/>
      <c r="R11" s="10"/>
      <c r="S11" s="10"/>
    </row>
    <row r="12">
      <c r="A12" s="2" t="s">
        <v>19</v>
      </c>
      <c r="B12" s="3" t="s">
        <v>46</v>
      </c>
      <c r="C12" s="4" t="s">
        <v>47</v>
      </c>
      <c r="D12" s="5" t="s">
        <v>48</v>
      </c>
      <c r="E12" s="3">
        <v>20.0</v>
      </c>
      <c r="F12" s="3">
        <v>1400.0</v>
      </c>
      <c r="G12" s="6">
        <f t="shared" si="1"/>
        <v>28000</v>
      </c>
      <c r="H12" s="3" t="s">
        <v>23</v>
      </c>
      <c r="I12" s="5" t="s">
        <v>24</v>
      </c>
      <c r="J12" s="7"/>
      <c r="K12" s="7"/>
      <c r="L12" s="8" t="s">
        <v>38</v>
      </c>
      <c r="M12" s="9">
        <v>45994.0</v>
      </c>
      <c r="N12" s="5"/>
      <c r="O12" s="5"/>
      <c r="P12" s="4">
        <v>4.562309513798E12</v>
      </c>
      <c r="Q12" s="7"/>
      <c r="R12" s="10"/>
      <c r="S12" s="10"/>
    </row>
    <row r="13">
      <c r="A13" s="2" t="s">
        <v>19</v>
      </c>
      <c r="B13" s="3" t="s">
        <v>49</v>
      </c>
      <c r="C13" s="4">
        <v>4.526374813153E12</v>
      </c>
      <c r="D13" s="5" t="s">
        <v>50</v>
      </c>
      <c r="E13" s="3">
        <v>5.0</v>
      </c>
      <c r="F13" s="3">
        <v>2707.0</v>
      </c>
      <c r="G13" s="6">
        <f t="shared" si="1"/>
        <v>13535</v>
      </c>
      <c r="H13" s="3" t="s">
        <v>23</v>
      </c>
      <c r="I13" s="5" t="s">
        <v>24</v>
      </c>
      <c r="J13" s="7"/>
      <c r="K13" s="7"/>
      <c r="L13" s="8" t="s">
        <v>38</v>
      </c>
      <c r="M13" s="9">
        <v>45989.0</v>
      </c>
      <c r="N13" s="5"/>
      <c r="O13" s="5"/>
      <c r="P13" s="4">
        <v>4.526374813153E12</v>
      </c>
      <c r="Q13" s="7"/>
      <c r="R13" s="10"/>
      <c r="S13" s="10"/>
    </row>
    <row r="14">
      <c r="A14" s="2" t="s">
        <v>19</v>
      </c>
      <c r="B14" s="3" t="s">
        <v>43</v>
      </c>
      <c r="C14" s="4" t="s">
        <v>44</v>
      </c>
      <c r="D14" s="5" t="s">
        <v>45</v>
      </c>
      <c r="E14" s="3">
        <v>19.0</v>
      </c>
      <c r="F14" s="3">
        <v>3308.0</v>
      </c>
      <c r="G14" s="6">
        <f t="shared" si="1"/>
        <v>62852</v>
      </c>
      <c r="H14" s="3" t="s">
        <v>23</v>
      </c>
      <c r="I14" s="5" t="s">
        <v>24</v>
      </c>
      <c r="J14" s="7"/>
      <c r="K14" s="7"/>
      <c r="L14" s="8" t="s">
        <v>51</v>
      </c>
      <c r="M14" s="9">
        <v>45989.0</v>
      </c>
      <c r="N14" s="5"/>
      <c r="O14" s="5"/>
      <c r="P14" s="4">
        <v>4.562160134415E12</v>
      </c>
      <c r="Q14" s="7"/>
      <c r="R14" s="10">
        <v>24.7</v>
      </c>
      <c r="S14" s="10" t="s">
        <v>26</v>
      </c>
    </row>
    <row r="15">
      <c r="A15" s="2" t="s">
        <v>19</v>
      </c>
      <c r="B15" s="3" t="s">
        <v>43</v>
      </c>
      <c r="C15" s="4" t="s">
        <v>52</v>
      </c>
      <c r="D15" s="5" t="s">
        <v>53</v>
      </c>
      <c r="E15" s="3">
        <v>18.0</v>
      </c>
      <c r="F15" s="3">
        <v>3308.0</v>
      </c>
      <c r="G15" s="6">
        <f t="shared" si="1"/>
        <v>59544</v>
      </c>
      <c r="H15" s="3" t="s">
        <v>23</v>
      </c>
      <c r="I15" s="5" t="s">
        <v>24</v>
      </c>
      <c r="J15" s="7"/>
      <c r="K15" s="7"/>
      <c r="L15" s="8" t="s">
        <v>54</v>
      </c>
      <c r="M15" s="9">
        <v>45989.0</v>
      </c>
      <c r="N15" s="5"/>
      <c r="O15" s="5"/>
      <c r="P15" s="4">
        <v>4.562160134101E12</v>
      </c>
      <c r="Q15" s="7"/>
      <c r="R15" s="10">
        <v>24.8</v>
      </c>
      <c r="S15" s="10" t="s">
        <v>26</v>
      </c>
    </row>
    <row r="16">
      <c r="A16" s="2" t="s">
        <v>19</v>
      </c>
      <c r="B16" s="3" t="s">
        <v>43</v>
      </c>
      <c r="C16" s="4" t="s">
        <v>52</v>
      </c>
      <c r="D16" s="5" t="s">
        <v>53</v>
      </c>
      <c r="E16" s="3">
        <v>2.0</v>
      </c>
      <c r="F16" s="3">
        <v>3308.0</v>
      </c>
      <c r="G16" s="6">
        <f t="shared" si="1"/>
        <v>6616</v>
      </c>
      <c r="H16" s="3" t="s">
        <v>23</v>
      </c>
      <c r="I16" s="5" t="s">
        <v>24</v>
      </c>
      <c r="J16" s="7"/>
      <c r="K16" s="7"/>
      <c r="L16" s="8" t="s">
        <v>55</v>
      </c>
      <c r="M16" s="9">
        <v>45989.0</v>
      </c>
      <c r="N16" s="5"/>
      <c r="O16" s="5"/>
      <c r="P16" s="4">
        <v>4.562160134101E12</v>
      </c>
      <c r="Q16" s="7"/>
      <c r="R16" s="10">
        <v>7.9</v>
      </c>
      <c r="S16" s="10" t="s">
        <v>56</v>
      </c>
    </row>
    <row r="17">
      <c r="A17" s="2" t="s">
        <v>19</v>
      </c>
      <c r="B17" s="3" t="s">
        <v>46</v>
      </c>
      <c r="C17" s="4" t="s">
        <v>47</v>
      </c>
      <c r="D17" s="5" t="s">
        <v>48</v>
      </c>
      <c r="E17" s="3">
        <v>9.0</v>
      </c>
      <c r="F17" s="3">
        <v>1400.0</v>
      </c>
      <c r="G17" s="6">
        <f t="shared" si="1"/>
        <v>12600</v>
      </c>
      <c r="H17" s="3" t="s">
        <v>23</v>
      </c>
      <c r="I17" s="5" t="s">
        <v>24</v>
      </c>
      <c r="J17" s="7"/>
      <c r="K17" s="7"/>
      <c r="L17" s="8" t="s">
        <v>55</v>
      </c>
      <c r="M17" s="9">
        <v>45999.0</v>
      </c>
      <c r="N17" s="5"/>
      <c r="O17" s="5"/>
      <c r="P17" s="4">
        <v>4.562309513798E12</v>
      </c>
      <c r="Q17" s="7"/>
      <c r="R17" s="10"/>
      <c r="S17" s="10"/>
    </row>
    <row r="18">
      <c r="A18" s="2" t="s">
        <v>19</v>
      </c>
      <c r="B18" s="3" t="s">
        <v>20</v>
      </c>
      <c r="C18" s="4" t="s">
        <v>57</v>
      </c>
      <c r="D18" s="5" t="s">
        <v>58</v>
      </c>
      <c r="E18" s="3">
        <v>30.0</v>
      </c>
      <c r="F18" s="3">
        <v>2095.0</v>
      </c>
      <c r="G18" s="6">
        <f t="shared" si="1"/>
        <v>62850</v>
      </c>
      <c r="H18" s="3" t="s">
        <v>23</v>
      </c>
      <c r="I18" s="5" t="s">
        <v>31</v>
      </c>
      <c r="J18" s="7"/>
      <c r="K18" s="7"/>
      <c r="L18" s="8" t="s">
        <v>59</v>
      </c>
      <c r="M18" s="9">
        <v>45989.0</v>
      </c>
      <c r="N18" s="5"/>
      <c r="O18" s="5"/>
      <c r="P18" s="4">
        <v>4.589717872811E12</v>
      </c>
      <c r="Q18" s="7"/>
      <c r="R18" s="10">
        <v>10.3</v>
      </c>
      <c r="S18" s="10" t="s">
        <v>60</v>
      </c>
    </row>
    <row r="19">
      <c r="A19" s="2" t="s">
        <v>19</v>
      </c>
      <c r="B19" s="3" t="s">
        <v>61</v>
      </c>
      <c r="C19" s="4" t="s">
        <v>62</v>
      </c>
      <c r="D19" s="5" t="s">
        <v>63</v>
      </c>
      <c r="E19" s="3">
        <v>25.0</v>
      </c>
      <c r="F19" s="3">
        <v>1800.0</v>
      </c>
      <c r="G19" s="6">
        <f t="shared" si="1"/>
        <v>45000</v>
      </c>
      <c r="H19" s="3" t="s">
        <v>23</v>
      </c>
      <c r="I19" s="5" t="s">
        <v>24</v>
      </c>
      <c r="J19" s="7"/>
      <c r="K19" s="7"/>
      <c r="L19" s="8" t="s">
        <v>64</v>
      </c>
      <c r="M19" s="9">
        <v>45989.0</v>
      </c>
      <c r="N19" s="5"/>
      <c r="O19" s="5"/>
      <c r="P19" s="4">
        <v>4.571360812597E12</v>
      </c>
      <c r="Q19" s="7"/>
      <c r="R19" s="10">
        <v>15.8</v>
      </c>
      <c r="S19" s="10" t="s">
        <v>65</v>
      </c>
    </row>
    <row r="20">
      <c r="A20" s="2" t="s">
        <v>19</v>
      </c>
      <c r="B20" s="3" t="s">
        <v>61</v>
      </c>
      <c r="C20" s="4" t="s">
        <v>66</v>
      </c>
      <c r="D20" s="5" t="s">
        <v>67</v>
      </c>
      <c r="E20" s="3">
        <v>5.0</v>
      </c>
      <c r="F20" s="3">
        <v>1800.0</v>
      </c>
      <c r="G20" s="6">
        <f t="shared" si="1"/>
        <v>9000</v>
      </c>
      <c r="H20" s="3" t="s">
        <v>23</v>
      </c>
      <c r="I20" s="5" t="s">
        <v>24</v>
      </c>
      <c r="J20" s="7"/>
      <c r="K20" s="7"/>
      <c r="L20" s="8" t="s">
        <v>64</v>
      </c>
      <c r="M20" s="9">
        <v>45989.0</v>
      </c>
      <c r="N20" s="5"/>
      <c r="O20" s="5"/>
      <c r="P20" s="4">
        <v>4.571360813501E12</v>
      </c>
      <c r="Q20" s="7"/>
      <c r="R20" s="10"/>
      <c r="S20" s="10"/>
    </row>
    <row r="21">
      <c r="A21" s="2" t="s">
        <v>19</v>
      </c>
      <c r="B21" s="3" t="s">
        <v>61</v>
      </c>
      <c r="C21" s="4" t="s">
        <v>66</v>
      </c>
      <c r="D21" s="5" t="s">
        <v>67</v>
      </c>
      <c r="E21" s="3">
        <v>20.0</v>
      </c>
      <c r="F21" s="3">
        <v>1800.0</v>
      </c>
      <c r="G21" s="6">
        <f t="shared" si="1"/>
        <v>36000</v>
      </c>
      <c r="H21" s="3" t="s">
        <v>23</v>
      </c>
      <c r="I21" s="5" t="s">
        <v>24</v>
      </c>
      <c r="J21" s="7"/>
      <c r="K21" s="7"/>
      <c r="L21" s="8" t="s">
        <v>68</v>
      </c>
      <c r="M21" s="9">
        <v>45989.0</v>
      </c>
      <c r="N21" s="5"/>
      <c r="O21" s="5"/>
      <c r="P21" s="4">
        <v>4.571360813501E12</v>
      </c>
      <c r="Q21" s="7"/>
      <c r="R21" s="10">
        <v>10.7</v>
      </c>
      <c r="S21" s="10" t="s">
        <v>69</v>
      </c>
    </row>
    <row r="22">
      <c r="A22" s="2" t="s">
        <v>19</v>
      </c>
      <c r="B22" s="3" t="s">
        <v>61</v>
      </c>
      <c r="C22" s="4" t="s">
        <v>70</v>
      </c>
      <c r="D22" s="5" t="s">
        <v>71</v>
      </c>
      <c r="E22" s="3">
        <v>10.0</v>
      </c>
      <c r="F22" s="3">
        <v>1720.0</v>
      </c>
      <c r="G22" s="6">
        <f t="shared" si="1"/>
        <v>17200</v>
      </c>
      <c r="H22" s="3" t="s">
        <v>23</v>
      </c>
      <c r="I22" s="5" t="s">
        <v>24</v>
      </c>
      <c r="J22" s="7"/>
      <c r="K22" s="7"/>
      <c r="L22" s="8" t="s">
        <v>72</v>
      </c>
      <c r="M22" s="9">
        <v>45989.0</v>
      </c>
      <c r="N22" s="5"/>
      <c r="O22" s="5"/>
      <c r="P22" s="4">
        <v>4.57136081427E12</v>
      </c>
      <c r="Q22" s="7"/>
      <c r="R22" s="10">
        <v>5.5</v>
      </c>
      <c r="S22" s="10" t="s">
        <v>73</v>
      </c>
    </row>
    <row r="23">
      <c r="A23" s="2" t="s">
        <v>74</v>
      </c>
      <c r="B23" s="3" t="s">
        <v>43</v>
      </c>
      <c r="C23" s="4" t="s">
        <v>75</v>
      </c>
      <c r="D23" s="5" t="s">
        <v>76</v>
      </c>
      <c r="E23" s="3">
        <v>5.0</v>
      </c>
      <c r="F23" s="3">
        <v>1555.0</v>
      </c>
      <c r="G23" s="6">
        <f t="shared" si="1"/>
        <v>7775</v>
      </c>
      <c r="H23" s="3" t="s">
        <v>23</v>
      </c>
      <c r="I23" s="5" t="s">
        <v>24</v>
      </c>
      <c r="J23" s="7"/>
      <c r="K23" s="7"/>
      <c r="L23" s="8" t="s">
        <v>77</v>
      </c>
      <c r="M23" s="9">
        <v>45980.0</v>
      </c>
      <c r="N23" s="5"/>
      <c r="O23" s="5"/>
      <c r="P23" s="4">
        <v>4.562160138598E12</v>
      </c>
      <c r="Q23" s="7"/>
      <c r="R23" s="10">
        <v>24.7</v>
      </c>
      <c r="S23" s="10" t="s">
        <v>26</v>
      </c>
    </row>
    <row r="24">
      <c r="A24" s="2" t="s">
        <v>74</v>
      </c>
      <c r="B24" s="3" t="s">
        <v>43</v>
      </c>
      <c r="C24" s="4" t="s">
        <v>78</v>
      </c>
      <c r="D24" s="5" t="s">
        <v>79</v>
      </c>
      <c r="E24" s="3">
        <v>5.0</v>
      </c>
      <c r="F24" s="3">
        <v>549.0</v>
      </c>
      <c r="G24" s="6">
        <v>2745.0</v>
      </c>
      <c r="H24" s="3" t="s">
        <v>23</v>
      </c>
      <c r="I24" s="5" t="s">
        <v>24</v>
      </c>
      <c r="J24" s="7"/>
      <c r="K24" s="7"/>
      <c r="L24" s="8" t="s">
        <v>77</v>
      </c>
      <c r="M24" s="9">
        <v>45972.0</v>
      </c>
      <c r="N24" s="5"/>
      <c r="O24" s="5"/>
      <c r="P24" s="4">
        <v>4.562160139199E12</v>
      </c>
      <c r="Q24" s="7"/>
      <c r="R24" s="10"/>
      <c r="S24" s="10"/>
    </row>
    <row r="25">
      <c r="A25" s="2" t="s">
        <v>74</v>
      </c>
      <c r="B25" s="3" t="s">
        <v>43</v>
      </c>
      <c r="C25" s="4" t="s">
        <v>80</v>
      </c>
      <c r="D25" s="5" t="s">
        <v>81</v>
      </c>
      <c r="E25" s="3">
        <v>5.0</v>
      </c>
      <c r="F25" s="3">
        <v>549.0</v>
      </c>
      <c r="G25" s="6">
        <f t="shared" ref="G25:G29" si="2">F25*E25</f>
        <v>2745</v>
      </c>
      <c r="H25" s="3" t="s">
        <v>23</v>
      </c>
      <c r="I25" s="5" t="s">
        <v>24</v>
      </c>
      <c r="J25" s="7"/>
      <c r="K25" s="7"/>
      <c r="L25" s="8" t="s">
        <v>77</v>
      </c>
      <c r="M25" s="9">
        <v>45980.0</v>
      </c>
      <c r="N25" s="5"/>
      <c r="O25" s="5"/>
      <c r="P25" s="4">
        <v>4.562160139304E12</v>
      </c>
      <c r="Q25" s="7"/>
      <c r="R25" s="10"/>
      <c r="S25" s="10"/>
    </row>
    <row r="26">
      <c r="A26" s="2" t="s">
        <v>74</v>
      </c>
      <c r="B26" s="3" t="s">
        <v>43</v>
      </c>
      <c r="C26" s="4" t="s">
        <v>82</v>
      </c>
      <c r="D26" s="5" t="s">
        <v>83</v>
      </c>
      <c r="E26" s="3">
        <v>5.0</v>
      </c>
      <c r="F26" s="3">
        <v>549.0</v>
      </c>
      <c r="G26" s="6">
        <f t="shared" si="2"/>
        <v>2745</v>
      </c>
      <c r="H26" s="3" t="s">
        <v>23</v>
      </c>
      <c r="I26" s="5" t="s">
        <v>24</v>
      </c>
      <c r="J26" s="7"/>
      <c r="K26" s="7"/>
      <c r="L26" s="8" t="s">
        <v>77</v>
      </c>
      <c r="M26" s="9">
        <v>45980.0</v>
      </c>
      <c r="N26" s="5"/>
      <c r="O26" s="5"/>
      <c r="P26" s="4">
        <v>4.562160139069E12</v>
      </c>
      <c r="Q26" s="7"/>
      <c r="R26" s="10"/>
      <c r="S26" s="10"/>
    </row>
    <row r="27">
      <c r="A27" s="2" t="s">
        <v>74</v>
      </c>
      <c r="B27" s="3" t="s">
        <v>43</v>
      </c>
      <c r="C27" s="4" t="s">
        <v>84</v>
      </c>
      <c r="D27" s="5" t="s">
        <v>85</v>
      </c>
      <c r="E27" s="3">
        <v>6.0</v>
      </c>
      <c r="F27" s="3">
        <v>1786.0</v>
      </c>
      <c r="G27" s="6">
        <f t="shared" si="2"/>
        <v>10716</v>
      </c>
      <c r="H27" s="3" t="s">
        <v>23</v>
      </c>
      <c r="I27" s="5" t="s">
        <v>24</v>
      </c>
      <c r="J27" s="7"/>
      <c r="K27" s="7"/>
      <c r="L27" s="8" t="s">
        <v>77</v>
      </c>
      <c r="M27" s="9">
        <v>45980.0</v>
      </c>
      <c r="N27" s="5"/>
      <c r="O27" s="5"/>
      <c r="P27" s="4">
        <v>4.562160139779E12</v>
      </c>
      <c r="Q27" s="7"/>
      <c r="R27" s="10"/>
      <c r="S27" s="10"/>
    </row>
    <row r="28">
      <c r="A28" s="2" t="s">
        <v>74</v>
      </c>
      <c r="B28" s="3" t="s">
        <v>43</v>
      </c>
      <c r="C28" s="4" t="s">
        <v>86</v>
      </c>
      <c r="D28" s="5" t="s">
        <v>87</v>
      </c>
      <c r="E28" s="3">
        <v>1.0</v>
      </c>
      <c r="F28" s="3">
        <v>2150.0</v>
      </c>
      <c r="G28" s="6">
        <f t="shared" si="2"/>
        <v>2150</v>
      </c>
      <c r="H28" s="3" t="s">
        <v>23</v>
      </c>
      <c r="I28" s="5" t="s">
        <v>24</v>
      </c>
      <c r="J28" s="7"/>
      <c r="K28" s="7"/>
      <c r="L28" s="8" t="s">
        <v>77</v>
      </c>
      <c r="M28" s="9">
        <v>45980.0</v>
      </c>
      <c r="N28" s="5"/>
      <c r="O28" s="5"/>
      <c r="P28" s="4">
        <v>4.562160138437E12</v>
      </c>
      <c r="Q28" s="7"/>
      <c r="R28" s="10"/>
      <c r="S28" s="10"/>
    </row>
    <row r="29">
      <c r="A29" s="2" t="s">
        <v>74</v>
      </c>
      <c r="B29" s="3" t="s">
        <v>88</v>
      </c>
      <c r="C29" s="4" t="s">
        <v>89</v>
      </c>
      <c r="D29" s="5" t="s">
        <v>90</v>
      </c>
      <c r="E29" s="3">
        <v>3.0</v>
      </c>
      <c r="F29" s="3">
        <v>2029.0</v>
      </c>
      <c r="G29" s="6">
        <f t="shared" si="2"/>
        <v>6087</v>
      </c>
      <c r="H29" s="3" t="s">
        <v>23</v>
      </c>
      <c r="I29" s="5" t="s">
        <v>24</v>
      </c>
      <c r="J29" s="7"/>
      <c r="K29" s="7"/>
      <c r="L29" s="8" t="s">
        <v>77</v>
      </c>
      <c r="M29" s="9">
        <v>45980.0</v>
      </c>
      <c r="N29" s="5"/>
      <c r="O29" s="5"/>
      <c r="P29" s="4">
        <v>4.571360814003E12</v>
      </c>
      <c r="Q29" s="7"/>
      <c r="R29" s="10"/>
      <c r="S29" s="10"/>
    </row>
    <row r="30">
      <c r="A30" s="2" t="s">
        <v>74</v>
      </c>
      <c r="B30" s="3" t="s">
        <v>91</v>
      </c>
      <c r="C30" s="4" t="s">
        <v>92</v>
      </c>
      <c r="D30" s="5" t="s">
        <v>93</v>
      </c>
      <c r="E30" s="3">
        <v>20.0</v>
      </c>
      <c r="F30" s="3">
        <v>389.0</v>
      </c>
      <c r="G30" s="6">
        <v>7780.0</v>
      </c>
      <c r="H30" s="3" t="s">
        <v>94</v>
      </c>
      <c r="I30" s="5" t="s">
        <v>24</v>
      </c>
      <c r="J30" s="7"/>
      <c r="K30" s="7"/>
      <c r="L30" s="8" t="s">
        <v>77</v>
      </c>
      <c r="M30" s="9">
        <v>45980.0</v>
      </c>
      <c r="N30" s="5"/>
      <c r="O30" s="5"/>
      <c r="P30" s="4">
        <v>4.562349719556E12</v>
      </c>
      <c r="Q30" s="7"/>
      <c r="R30" s="10"/>
      <c r="S30" s="10"/>
    </row>
    <row r="31">
      <c r="A31" s="2" t="s">
        <v>74</v>
      </c>
      <c r="B31" s="3" t="s">
        <v>91</v>
      </c>
      <c r="C31" s="4" t="s">
        <v>95</v>
      </c>
      <c r="D31" s="5" t="s">
        <v>96</v>
      </c>
      <c r="E31" s="3">
        <v>10.0</v>
      </c>
      <c r="F31" s="3">
        <v>389.0</v>
      </c>
      <c r="G31" s="6">
        <f t="shared" ref="G31:G33" si="3">F31*E31</f>
        <v>3890</v>
      </c>
      <c r="H31" s="3" t="s">
        <v>94</v>
      </c>
      <c r="I31" s="5" t="s">
        <v>24</v>
      </c>
      <c r="J31" s="7"/>
      <c r="K31" s="7"/>
      <c r="L31" s="8" t="s">
        <v>77</v>
      </c>
      <c r="M31" s="9">
        <v>45980.0</v>
      </c>
      <c r="N31" s="5"/>
      <c r="O31" s="5"/>
      <c r="P31" s="4">
        <v>4.562349719549E12</v>
      </c>
      <c r="Q31" s="7"/>
      <c r="R31" s="10"/>
      <c r="S31" s="10"/>
    </row>
    <row r="32">
      <c r="A32" s="2" t="s">
        <v>74</v>
      </c>
      <c r="B32" s="3" t="s">
        <v>20</v>
      </c>
      <c r="C32" s="4" t="s">
        <v>97</v>
      </c>
      <c r="D32" s="5" t="s">
        <v>98</v>
      </c>
      <c r="E32" s="3">
        <v>5.0</v>
      </c>
      <c r="F32" s="3">
        <v>992.0</v>
      </c>
      <c r="G32" s="6">
        <f t="shared" si="3"/>
        <v>4960</v>
      </c>
      <c r="H32" s="3" t="s">
        <v>94</v>
      </c>
      <c r="I32" s="5" t="s">
        <v>24</v>
      </c>
      <c r="J32" s="7"/>
      <c r="K32" s="7"/>
      <c r="L32" s="8" t="s">
        <v>77</v>
      </c>
      <c r="M32" s="9">
        <v>45980.0</v>
      </c>
      <c r="N32" s="5"/>
      <c r="O32" s="5"/>
      <c r="P32" s="4">
        <v>4.589717872989E12</v>
      </c>
      <c r="Q32" s="7"/>
      <c r="R32" s="10"/>
      <c r="S32" s="10"/>
    </row>
    <row r="33">
      <c r="A33" s="2" t="s">
        <v>74</v>
      </c>
      <c r="B33" s="3" t="s">
        <v>43</v>
      </c>
      <c r="C33" s="4" t="s">
        <v>99</v>
      </c>
      <c r="D33" s="5" t="s">
        <v>100</v>
      </c>
      <c r="E33" s="3">
        <v>3.0</v>
      </c>
      <c r="F33" s="3">
        <v>1555.0</v>
      </c>
      <c r="G33" s="6">
        <f t="shared" si="3"/>
        <v>4665</v>
      </c>
      <c r="H33" s="3" t="s">
        <v>23</v>
      </c>
      <c r="I33" s="5" t="s">
        <v>24</v>
      </c>
      <c r="J33" s="7"/>
      <c r="K33" s="7"/>
      <c r="L33" s="8" t="s">
        <v>101</v>
      </c>
      <c r="M33" s="9">
        <v>46000.0</v>
      </c>
      <c r="N33" s="5"/>
      <c r="O33" s="5"/>
      <c r="P33" s="4">
        <v>4.562160138581E12</v>
      </c>
      <c r="Q33" s="7"/>
      <c r="R33" s="10">
        <v>16.9</v>
      </c>
      <c r="S33" s="10" t="s">
        <v>102</v>
      </c>
    </row>
    <row r="34">
      <c r="A34" s="2" t="s">
        <v>74</v>
      </c>
      <c r="B34" s="3" t="s">
        <v>43</v>
      </c>
      <c r="C34" s="4" t="s">
        <v>103</v>
      </c>
      <c r="D34" s="5" t="s">
        <v>104</v>
      </c>
      <c r="E34" s="3">
        <v>5.0</v>
      </c>
      <c r="F34" s="3">
        <v>549.0</v>
      </c>
      <c r="G34" s="6">
        <v>2745.0</v>
      </c>
      <c r="H34" s="3" t="s">
        <v>23</v>
      </c>
      <c r="I34" s="5" t="s">
        <v>24</v>
      </c>
      <c r="J34" s="7"/>
      <c r="K34" s="7"/>
      <c r="L34" s="8" t="s">
        <v>101</v>
      </c>
      <c r="M34" s="9">
        <v>45980.0</v>
      </c>
      <c r="N34" s="5"/>
      <c r="O34" s="5"/>
      <c r="P34" s="4">
        <v>4.562160139083E12</v>
      </c>
      <c r="Q34" s="7"/>
      <c r="R34" s="10"/>
      <c r="S34" s="10"/>
    </row>
    <row r="35">
      <c r="A35" s="2" t="s">
        <v>74</v>
      </c>
      <c r="B35" s="3" t="s">
        <v>43</v>
      </c>
      <c r="C35" s="4" t="s">
        <v>44</v>
      </c>
      <c r="D35" s="5" t="s">
        <v>45</v>
      </c>
      <c r="E35" s="3">
        <v>3.0</v>
      </c>
      <c r="F35" s="3">
        <v>3308.0</v>
      </c>
      <c r="G35" s="6">
        <f t="shared" ref="G35:G101" si="4">F35*E35</f>
        <v>9924</v>
      </c>
      <c r="H35" s="3" t="s">
        <v>23</v>
      </c>
      <c r="I35" s="5" t="s">
        <v>24</v>
      </c>
      <c r="J35" s="7"/>
      <c r="K35" s="7"/>
      <c r="L35" s="8" t="s">
        <v>101</v>
      </c>
      <c r="M35" s="9">
        <v>46000.0</v>
      </c>
      <c r="N35" s="5"/>
      <c r="O35" s="5"/>
      <c r="P35" s="4">
        <v>4.562160134415E12</v>
      </c>
      <c r="Q35" s="7"/>
      <c r="R35" s="10"/>
      <c r="S35" s="10"/>
    </row>
    <row r="36">
      <c r="A36" s="2" t="s">
        <v>74</v>
      </c>
      <c r="B36" s="3" t="s">
        <v>43</v>
      </c>
      <c r="C36" s="4" t="s">
        <v>105</v>
      </c>
      <c r="D36" s="5" t="s">
        <v>106</v>
      </c>
      <c r="E36" s="3">
        <v>3.0</v>
      </c>
      <c r="F36" s="3">
        <v>2150.0</v>
      </c>
      <c r="G36" s="6">
        <f t="shared" si="4"/>
        <v>6450</v>
      </c>
      <c r="H36" s="3" t="s">
        <v>23</v>
      </c>
      <c r="I36" s="5" t="s">
        <v>24</v>
      </c>
      <c r="J36" s="7"/>
      <c r="K36" s="7"/>
      <c r="L36" s="8" t="s">
        <v>101</v>
      </c>
      <c r="M36" s="9">
        <v>46000.0</v>
      </c>
      <c r="N36" s="5"/>
      <c r="O36" s="5"/>
      <c r="P36" s="4">
        <v>4.562160139519E12</v>
      </c>
      <c r="Q36" s="7"/>
      <c r="R36" s="10"/>
      <c r="S36" s="10"/>
    </row>
    <row r="37">
      <c r="A37" s="2" t="s">
        <v>74</v>
      </c>
      <c r="B37" s="3" t="s">
        <v>43</v>
      </c>
      <c r="C37" s="4" t="s">
        <v>107</v>
      </c>
      <c r="D37" s="5" t="s">
        <v>108</v>
      </c>
      <c r="E37" s="3">
        <v>5.0</v>
      </c>
      <c r="F37" s="3">
        <v>3099.0</v>
      </c>
      <c r="G37" s="6">
        <f t="shared" si="4"/>
        <v>15495</v>
      </c>
      <c r="H37" s="3" t="s">
        <v>23</v>
      </c>
      <c r="I37" s="5" t="s">
        <v>24</v>
      </c>
      <c r="J37" s="7"/>
      <c r="K37" s="7"/>
      <c r="L37" s="8" t="s">
        <v>101</v>
      </c>
      <c r="M37" s="9">
        <v>46000.0</v>
      </c>
      <c r="N37" s="5"/>
      <c r="O37" s="5" t="s">
        <v>109</v>
      </c>
      <c r="P37" s="4">
        <v>4.562160138758E12</v>
      </c>
      <c r="Q37" s="7"/>
      <c r="R37" s="10"/>
      <c r="S37" s="10"/>
    </row>
    <row r="38">
      <c r="A38" s="2" t="s">
        <v>74</v>
      </c>
      <c r="B38" s="3" t="s">
        <v>43</v>
      </c>
      <c r="C38" s="4" t="s">
        <v>110</v>
      </c>
      <c r="D38" s="5" t="s">
        <v>111</v>
      </c>
      <c r="E38" s="3">
        <v>5.0</v>
      </c>
      <c r="F38" s="3">
        <v>182.0</v>
      </c>
      <c r="G38" s="6">
        <f t="shared" si="4"/>
        <v>910</v>
      </c>
      <c r="H38" s="3" t="s">
        <v>94</v>
      </c>
      <c r="I38" s="5" t="s">
        <v>24</v>
      </c>
      <c r="J38" s="7"/>
      <c r="K38" s="7"/>
      <c r="L38" s="8" t="s">
        <v>112</v>
      </c>
      <c r="M38" s="9">
        <v>46000.0</v>
      </c>
      <c r="N38" s="5"/>
      <c r="O38" s="5"/>
      <c r="P38" s="4">
        <v>4.57116596657E12</v>
      </c>
      <c r="Q38" s="7"/>
      <c r="R38" s="10">
        <v>11.9</v>
      </c>
      <c r="S38" s="10" t="s">
        <v>113</v>
      </c>
    </row>
    <row r="39">
      <c r="A39" s="2" t="s">
        <v>74</v>
      </c>
      <c r="B39" s="3" t="s">
        <v>43</v>
      </c>
      <c r="C39" s="4" t="s">
        <v>114</v>
      </c>
      <c r="D39" s="5" t="s">
        <v>115</v>
      </c>
      <c r="E39" s="3">
        <v>40.0</v>
      </c>
      <c r="F39" s="3">
        <v>331.0</v>
      </c>
      <c r="G39" s="6">
        <f t="shared" si="4"/>
        <v>13240</v>
      </c>
      <c r="H39" s="3" t="s">
        <v>94</v>
      </c>
      <c r="I39" s="5" t="s">
        <v>24</v>
      </c>
      <c r="J39" s="7"/>
      <c r="K39" s="7"/>
      <c r="L39" s="8" t="s">
        <v>112</v>
      </c>
      <c r="M39" s="9">
        <v>46000.0</v>
      </c>
      <c r="N39" s="5"/>
      <c r="O39" s="5"/>
      <c r="P39" s="4">
        <v>4.571165963029E12</v>
      </c>
      <c r="Q39" s="7"/>
      <c r="R39" s="10"/>
      <c r="S39" s="10"/>
    </row>
    <row r="40">
      <c r="A40" s="2" t="s">
        <v>74</v>
      </c>
      <c r="B40" s="3" t="s">
        <v>43</v>
      </c>
      <c r="C40" s="4" t="s">
        <v>116</v>
      </c>
      <c r="D40" s="5" t="s">
        <v>117</v>
      </c>
      <c r="E40" s="3">
        <v>10.0</v>
      </c>
      <c r="F40" s="3">
        <v>182.0</v>
      </c>
      <c r="G40" s="6">
        <f t="shared" si="4"/>
        <v>1820</v>
      </c>
      <c r="H40" s="3" t="s">
        <v>94</v>
      </c>
      <c r="I40" s="5" t="s">
        <v>24</v>
      </c>
      <c r="J40" s="7"/>
      <c r="K40" s="7"/>
      <c r="L40" s="8" t="s">
        <v>112</v>
      </c>
      <c r="M40" s="9">
        <v>46000.0</v>
      </c>
      <c r="N40" s="5"/>
      <c r="O40" s="5"/>
      <c r="P40" s="4">
        <v>4.571165966549E12</v>
      </c>
      <c r="Q40" s="7"/>
      <c r="R40" s="10"/>
      <c r="S40" s="10"/>
    </row>
    <row r="41">
      <c r="A41" s="2" t="s">
        <v>74</v>
      </c>
      <c r="B41" s="3" t="s">
        <v>43</v>
      </c>
      <c r="C41" s="4" t="s">
        <v>75</v>
      </c>
      <c r="D41" s="5" t="s">
        <v>76</v>
      </c>
      <c r="E41" s="3">
        <v>5.0</v>
      </c>
      <c r="F41" s="3">
        <v>1555.0</v>
      </c>
      <c r="G41" s="6">
        <f t="shared" si="4"/>
        <v>7775</v>
      </c>
      <c r="H41" s="3" t="s">
        <v>23</v>
      </c>
      <c r="I41" s="5" t="s">
        <v>24</v>
      </c>
      <c r="J41" s="7"/>
      <c r="K41" s="7"/>
      <c r="L41" s="8" t="s">
        <v>118</v>
      </c>
      <c r="M41" s="9">
        <v>46000.0</v>
      </c>
      <c r="N41" s="5"/>
      <c r="O41" s="5" t="s">
        <v>119</v>
      </c>
      <c r="P41" s="4">
        <v>4.562160138598E12</v>
      </c>
      <c r="Q41" s="7"/>
      <c r="R41" s="10">
        <v>12.2</v>
      </c>
      <c r="S41" s="10" t="s">
        <v>120</v>
      </c>
    </row>
    <row r="42">
      <c r="A42" s="2" t="s">
        <v>74</v>
      </c>
      <c r="B42" s="3" t="s">
        <v>43</v>
      </c>
      <c r="C42" s="4" t="s">
        <v>121</v>
      </c>
      <c r="D42" s="5" t="s">
        <v>122</v>
      </c>
      <c r="E42" s="3">
        <v>5.0</v>
      </c>
      <c r="F42" s="3">
        <v>1786.0</v>
      </c>
      <c r="G42" s="6">
        <f t="shared" si="4"/>
        <v>8930</v>
      </c>
      <c r="H42" s="3" t="s">
        <v>23</v>
      </c>
      <c r="I42" s="5" t="s">
        <v>24</v>
      </c>
      <c r="J42" s="7"/>
      <c r="K42" s="7"/>
      <c r="L42" s="8" t="s">
        <v>118</v>
      </c>
      <c r="M42" s="9">
        <v>46000.0</v>
      </c>
      <c r="N42" s="5"/>
      <c r="O42" s="5" t="s">
        <v>123</v>
      </c>
      <c r="P42" s="4">
        <v>4.562160139106E12</v>
      </c>
      <c r="Q42" s="7"/>
      <c r="R42" s="10"/>
      <c r="S42" s="10"/>
    </row>
    <row r="43">
      <c r="A43" s="2" t="s">
        <v>74</v>
      </c>
      <c r="B43" s="3" t="s">
        <v>43</v>
      </c>
      <c r="C43" s="4" t="s">
        <v>124</v>
      </c>
      <c r="D43" s="5" t="s">
        <v>125</v>
      </c>
      <c r="E43" s="3">
        <v>5.0</v>
      </c>
      <c r="F43" s="3">
        <v>2183.0</v>
      </c>
      <c r="G43" s="6">
        <f t="shared" si="4"/>
        <v>10915</v>
      </c>
      <c r="H43" s="3" t="s">
        <v>23</v>
      </c>
      <c r="I43" s="5" t="s">
        <v>24</v>
      </c>
      <c r="J43" s="7"/>
      <c r="K43" s="7"/>
      <c r="L43" s="8" t="s">
        <v>118</v>
      </c>
      <c r="M43" s="9">
        <v>46000.0</v>
      </c>
      <c r="N43" s="5"/>
      <c r="O43" s="5"/>
      <c r="P43" s="4">
        <v>4.562160135047E12</v>
      </c>
      <c r="Q43" s="7"/>
      <c r="R43" s="10"/>
      <c r="S43" s="10"/>
    </row>
    <row r="44">
      <c r="A44" s="2" t="s">
        <v>74</v>
      </c>
      <c r="B44" s="3" t="s">
        <v>43</v>
      </c>
      <c r="C44" s="4" t="s">
        <v>126</v>
      </c>
      <c r="D44" s="5" t="s">
        <v>127</v>
      </c>
      <c r="E44" s="3">
        <v>10.0</v>
      </c>
      <c r="F44" s="3">
        <v>1786.0</v>
      </c>
      <c r="G44" s="6">
        <f t="shared" si="4"/>
        <v>17860</v>
      </c>
      <c r="H44" s="3" t="s">
        <v>23</v>
      </c>
      <c r="I44" s="5" t="s">
        <v>24</v>
      </c>
      <c r="J44" s="7"/>
      <c r="K44" s="7"/>
      <c r="L44" s="8" t="s">
        <v>128</v>
      </c>
      <c r="M44" s="9">
        <v>46000.0</v>
      </c>
      <c r="N44" s="5"/>
      <c r="O44" s="5" t="s">
        <v>123</v>
      </c>
      <c r="P44" s="4">
        <v>4.562160136488E12</v>
      </c>
      <c r="Q44" s="7"/>
      <c r="R44" s="10">
        <v>7.1</v>
      </c>
      <c r="S44" s="10" t="s">
        <v>129</v>
      </c>
    </row>
    <row r="45">
      <c r="A45" s="2" t="s">
        <v>74</v>
      </c>
      <c r="B45" s="3" t="s">
        <v>43</v>
      </c>
      <c r="C45" s="4" t="s">
        <v>130</v>
      </c>
      <c r="D45" s="5" t="s">
        <v>131</v>
      </c>
      <c r="E45" s="3">
        <v>3.0</v>
      </c>
      <c r="F45" s="3">
        <v>1080.0</v>
      </c>
      <c r="G45" s="6">
        <f t="shared" si="4"/>
        <v>3240</v>
      </c>
      <c r="H45" s="3" t="s">
        <v>23</v>
      </c>
      <c r="I45" s="5" t="s">
        <v>24</v>
      </c>
      <c r="J45" s="7"/>
      <c r="K45" s="7"/>
      <c r="L45" s="8" t="s">
        <v>132</v>
      </c>
      <c r="M45" s="9">
        <v>46000.0</v>
      </c>
      <c r="N45" s="5"/>
      <c r="O45" s="5"/>
      <c r="P45" s="4">
        <v>4.562160139601E12</v>
      </c>
      <c r="Q45" s="7"/>
      <c r="R45" s="10">
        <v>24.0</v>
      </c>
      <c r="S45" s="10" t="s">
        <v>133</v>
      </c>
    </row>
    <row r="46">
      <c r="A46" s="2" t="s">
        <v>74</v>
      </c>
      <c r="B46" s="3" t="s">
        <v>43</v>
      </c>
      <c r="C46" s="4" t="s">
        <v>103</v>
      </c>
      <c r="D46" s="5" t="s">
        <v>104</v>
      </c>
      <c r="E46" s="3">
        <v>5.0</v>
      </c>
      <c r="F46" s="3">
        <v>549.0</v>
      </c>
      <c r="G46" s="6">
        <f t="shared" si="4"/>
        <v>2745</v>
      </c>
      <c r="H46" s="3" t="s">
        <v>23</v>
      </c>
      <c r="I46" s="5" t="s">
        <v>24</v>
      </c>
      <c r="J46" s="7"/>
      <c r="K46" s="7"/>
      <c r="L46" s="8" t="s">
        <v>132</v>
      </c>
      <c r="M46" s="9">
        <v>46000.0</v>
      </c>
      <c r="N46" s="5"/>
      <c r="O46" s="5" t="s">
        <v>134</v>
      </c>
      <c r="P46" s="4">
        <v>4.562160139083E12</v>
      </c>
      <c r="Q46" s="7"/>
      <c r="R46" s="10"/>
      <c r="S46" s="10"/>
    </row>
    <row r="47">
      <c r="A47" s="2" t="s">
        <v>74</v>
      </c>
      <c r="B47" s="3" t="s">
        <v>43</v>
      </c>
      <c r="C47" s="4" t="s">
        <v>135</v>
      </c>
      <c r="D47" s="5" t="s">
        <v>136</v>
      </c>
      <c r="E47" s="3">
        <v>5.0</v>
      </c>
      <c r="F47" s="3">
        <v>549.0</v>
      </c>
      <c r="G47" s="6">
        <f t="shared" si="4"/>
        <v>2745</v>
      </c>
      <c r="H47" s="3" t="s">
        <v>23</v>
      </c>
      <c r="I47" s="5" t="s">
        <v>24</v>
      </c>
      <c r="J47" s="7"/>
      <c r="K47" s="7"/>
      <c r="L47" s="8" t="s">
        <v>132</v>
      </c>
      <c r="M47" s="9">
        <v>46000.0</v>
      </c>
      <c r="N47" s="5"/>
      <c r="O47" s="5"/>
      <c r="P47" s="4">
        <v>4.562160139977E12</v>
      </c>
      <c r="Q47" s="7"/>
      <c r="R47" s="10"/>
      <c r="S47" s="10"/>
    </row>
    <row r="48">
      <c r="A48" s="2" t="s">
        <v>74</v>
      </c>
      <c r="B48" s="3" t="s">
        <v>43</v>
      </c>
      <c r="C48" s="4" t="s">
        <v>137</v>
      </c>
      <c r="D48" s="5" t="s">
        <v>138</v>
      </c>
      <c r="E48" s="3">
        <v>5.0</v>
      </c>
      <c r="F48" s="3">
        <v>3308.0</v>
      </c>
      <c r="G48" s="6">
        <f t="shared" si="4"/>
        <v>16540</v>
      </c>
      <c r="H48" s="3" t="s">
        <v>23</v>
      </c>
      <c r="I48" s="5" t="s">
        <v>24</v>
      </c>
      <c r="J48" s="7"/>
      <c r="K48" s="7"/>
      <c r="L48" s="8" t="s">
        <v>132</v>
      </c>
      <c r="M48" s="9">
        <v>46000.0</v>
      </c>
      <c r="N48" s="5"/>
      <c r="O48" s="5"/>
      <c r="P48" s="4">
        <v>4.562160137348E12</v>
      </c>
      <c r="Q48" s="7"/>
      <c r="R48" s="10"/>
      <c r="S48" s="10"/>
    </row>
    <row r="49">
      <c r="A49" s="2" t="s">
        <v>74</v>
      </c>
      <c r="B49" s="3" t="s">
        <v>43</v>
      </c>
      <c r="C49" s="4" t="s">
        <v>139</v>
      </c>
      <c r="D49" s="5" t="s">
        <v>140</v>
      </c>
      <c r="E49" s="3">
        <v>5.0</v>
      </c>
      <c r="F49" s="3">
        <v>2867.0</v>
      </c>
      <c r="G49" s="6">
        <f t="shared" si="4"/>
        <v>14335</v>
      </c>
      <c r="H49" s="3" t="s">
        <v>23</v>
      </c>
      <c r="I49" s="5" t="s">
        <v>24</v>
      </c>
      <c r="J49" s="7"/>
      <c r="K49" s="7"/>
      <c r="L49" s="8" t="s">
        <v>132</v>
      </c>
      <c r="M49" s="9">
        <v>46000.0</v>
      </c>
      <c r="N49" s="5"/>
      <c r="O49" s="5"/>
      <c r="P49" s="4">
        <v>4.562160138147E12</v>
      </c>
      <c r="Q49" s="7"/>
      <c r="R49" s="10"/>
      <c r="S49" s="10"/>
    </row>
    <row r="50">
      <c r="A50" s="2" t="s">
        <v>74</v>
      </c>
      <c r="B50" s="3" t="s">
        <v>43</v>
      </c>
      <c r="C50" s="4" t="s">
        <v>141</v>
      </c>
      <c r="D50" s="5" t="s">
        <v>142</v>
      </c>
      <c r="E50" s="3">
        <v>5.0</v>
      </c>
      <c r="F50" s="3">
        <v>3308.0</v>
      </c>
      <c r="G50" s="6">
        <f t="shared" si="4"/>
        <v>16540</v>
      </c>
      <c r="H50" s="3" t="s">
        <v>23</v>
      </c>
      <c r="I50" s="5" t="s">
        <v>24</v>
      </c>
      <c r="J50" s="7"/>
      <c r="K50" s="7"/>
      <c r="L50" s="8" t="s">
        <v>132</v>
      </c>
      <c r="M50" s="9">
        <v>46000.0</v>
      </c>
      <c r="N50" s="5"/>
      <c r="O50" s="5"/>
      <c r="P50" s="4">
        <v>4.562160138987E12</v>
      </c>
      <c r="Q50" s="7"/>
      <c r="R50" s="10"/>
      <c r="S50" s="10"/>
    </row>
    <row r="51">
      <c r="A51" s="2" t="s">
        <v>74</v>
      </c>
      <c r="B51" s="3" t="s">
        <v>143</v>
      </c>
      <c r="C51" s="4" t="s">
        <v>144</v>
      </c>
      <c r="D51" s="5" t="s">
        <v>145</v>
      </c>
      <c r="E51" s="3">
        <v>3.0</v>
      </c>
      <c r="F51" s="3">
        <v>1561.0</v>
      </c>
      <c r="G51" s="6">
        <f t="shared" si="4"/>
        <v>4683</v>
      </c>
      <c r="H51" s="3" t="s">
        <v>23</v>
      </c>
      <c r="I51" s="5" t="s">
        <v>24</v>
      </c>
      <c r="J51" s="7"/>
      <c r="K51" s="7"/>
      <c r="L51" s="8" t="s">
        <v>132</v>
      </c>
      <c r="M51" s="9">
        <v>46000.0</v>
      </c>
      <c r="N51" s="5"/>
      <c r="O51" s="5"/>
      <c r="P51" s="4">
        <v>4.571361305326E12</v>
      </c>
      <c r="Q51" s="7"/>
      <c r="R51" s="10"/>
      <c r="S51" s="10"/>
    </row>
    <row r="52">
      <c r="A52" s="2" t="s">
        <v>74</v>
      </c>
      <c r="B52" s="3" t="s">
        <v>43</v>
      </c>
      <c r="C52" s="4" t="s">
        <v>146</v>
      </c>
      <c r="D52" s="5" t="s">
        <v>147</v>
      </c>
      <c r="E52" s="3">
        <v>5.0</v>
      </c>
      <c r="F52" s="3">
        <v>182.0</v>
      </c>
      <c r="G52" s="6">
        <f t="shared" si="4"/>
        <v>910</v>
      </c>
      <c r="H52" s="3" t="s">
        <v>94</v>
      </c>
      <c r="I52" s="5" t="s">
        <v>24</v>
      </c>
      <c r="J52" s="7"/>
      <c r="K52" s="7"/>
      <c r="L52" s="8" t="s">
        <v>148</v>
      </c>
      <c r="M52" s="9">
        <v>46000.0</v>
      </c>
      <c r="N52" s="5"/>
      <c r="O52" s="5"/>
      <c r="P52" s="4">
        <v>4.57116596743E12</v>
      </c>
      <c r="Q52" s="7"/>
      <c r="R52" s="10">
        <v>15.2</v>
      </c>
      <c r="S52" s="10" t="s">
        <v>149</v>
      </c>
    </row>
    <row r="53">
      <c r="A53" s="2" t="s">
        <v>74</v>
      </c>
      <c r="B53" s="3" t="s">
        <v>43</v>
      </c>
      <c r="C53" s="4" t="s">
        <v>150</v>
      </c>
      <c r="D53" s="5" t="s">
        <v>151</v>
      </c>
      <c r="E53" s="3">
        <v>15.0</v>
      </c>
      <c r="F53" s="3">
        <v>182.0</v>
      </c>
      <c r="G53" s="6">
        <f t="shared" si="4"/>
        <v>2730</v>
      </c>
      <c r="H53" s="3" t="s">
        <v>94</v>
      </c>
      <c r="I53" s="5" t="s">
        <v>24</v>
      </c>
      <c r="J53" s="7"/>
      <c r="K53" s="7"/>
      <c r="L53" s="8" t="s">
        <v>148</v>
      </c>
      <c r="M53" s="9">
        <v>46000.0</v>
      </c>
      <c r="N53" s="5"/>
      <c r="O53" s="5"/>
      <c r="P53" s="4">
        <v>4.571165966884E12</v>
      </c>
      <c r="Q53" s="7"/>
      <c r="R53" s="10"/>
      <c r="S53" s="10"/>
    </row>
    <row r="54">
      <c r="A54" s="2" t="s">
        <v>74</v>
      </c>
      <c r="B54" s="3" t="s">
        <v>43</v>
      </c>
      <c r="C54" s="4" t="s">
        <v>152</v>
      </c>
      <c r="D54" s="5" t="s">
        <v>153</v>
      </c>
      <c r="E54" s="3">
        <v>15.0</v>
      </c>
      <c r="F54" s="3">
        <v>182.0</v>
      </c>
      <c r="G54" s="6">
        <f t="shared" si="4"/>
        <v>2730</v>
      </c>
      <c r="H54" s="3" t="s">
        <v>94</v>
      </c>
      <c r="I54" s="5" t="s">
        <v>24</v>
      </c>
      <c r="J54" s="7"/>
      <c r="K54" s="7"/>
      <c r="L54" s="8" t="s">
        <v>148</v>
      </c>
      <c r="M54" s="9">
        <v>46000.0</v>
      </c>
      <c r="N54" s="5"/>
      <c r="O54" s="5"/>
      <c r="P54" s="4">
        <v>4.571165966891E12</v>
      </c>
      <c r="Q54" s="7"/>
      <c r="R54" s="10"/>
      <c r="S54" s="10"/>
    </row>
    <row r="55">
      <c r="A55" s="2" t="s">
        <v>74</v>
      </c>
      <c r="B55" s="3" t="s">
        <v>43</v>
      </c>
      <c r="C55" s="4" t="s">
        <v>154</v>
      </c>
      <c r="D55" s="5" t="s">
        <v>155</v>
      </c>
      <c r="E55" s="3">
        <v>10.0</v>
      </c>
      <c r="F55" s="3">
        <v>182.0</v>
      </c>
      <c r="G55" s="6">
        <f t="shared" si="4"/>
        <v>1820</v>
      </c>
      <c r="H55" s="3" t="s">
        <v>94</v>
      </c>
      <c r="I55" s="5" t="s">
        <v>24</v>
      </c>
      <c r="J55" s="7"/>
      <c r="K55" s="7"/>
      <c r="L55" s="8" t="s">
        <v>148</v>
      </c>
      <c r="M55" s="9">
        <v>46000.0</v>
      </c>
      <c r="N55" s="5"/>
      <c r="O55" s="5"/>
      <c r="P55" s="4">
        <v>4.571165966518E12</v>
      </c>
      <c r="Q55" s="7"/>
      <c r="R55" s="10"/>
      <c r="S55" s="10"/>
    </row>
    <row r="56">
      <c r="A56" s="2" t="s">
        <v>74</v>
      </c>
      <c r="B56" s="3" t="s">
        <v>43</v>
      </c>
      <c r="C56" s="4" t="s">
        <v>156</v>
      </c>
      <c r="D56" s="5" t="s">
        <v>157</v>
      </c>
      <c r="E56" s="3">
        <v>5.0</v>
      </c>
      <c r="F56" s="3">
        <v>182.0</v>
      </c>
      <c r="G56" s="6">
        <f t="shared" si="4"/>
        <v>910</v>
      </c>
      <c r="H56" s="3" t="s">
        <v>94</v>
      </c>
      <c r="I56" s="5" t="s">
        <v>24</v>
      </c>
      <c r="J56" s="7"/>
      <c r="K56" s="7"/>
      <c r="L56" s="8" t="s">
        <v>148</v>
      </c>
      <c r="M56" s="9">
        <v>46000.0</v>
      </c>
      <c r="N56" s="5"/>
      <c r="O56" s="5"/>
      <c r="P56" s="4">
        <v>4.571165967379E12</v>
      </c>
      <c r="Q56" s="7"/>
      <c r="R56" s="10"/>
      <c r="S56" s="10"/>
    </row>
    <row r="57">
      <c r="A57" s="2" t="s">
        <v>74</v>
      </c>
      <c r="B57" s="3" t="s">
        <v>43</v>
      </c>
      <c r="C57" s="4" t="s">
        <v>158</v>
      </c>
      <c r="D57" s="5" t="s">
        <v>159</v>
      </c>
      <c r="E57" s="3">
        <v>5.0</v>
      </c>
      <c r="F57" s="3">
        <v>182.0</v>
      </c>
      <c r="G57" s="6">
        <f t="shared" si="4"/>
        <v>910</v>
      </c>
      <c r="H57" s="3" t="s">
        <v>94</v>
      </c>
      <c r="I57" s="5" t="s">
        <v>24</v>
      </c>
      <c r="J57" s="7"/>
      <c r="K57" s="7"/>
      <c r="L57" s="8" t="s">
        <v>148</v>
      </c>
      <c r="M57" s="9">
        <v>46000.0</v>
      </c>
      <c r="N57" s="5"/>
      <c r="O57" s="5"/>
      <c r="P57" s="4">
        <v>4.571165967232E12</v>
      </c>
      <c r="Q57" s="7"/>
      <c r="R57" s="10"/>
      <c r="S57" s="10"/>
    </row>
    <row r="58">
      <c r="A58" s="2" t="s">
        <v>74</v>
      </c>
      <c r="B58" s="3" t="s">
        <v>143</v>
      </c>
      <c r="C58" s="4" t="s">
        <v>160</v>
      </c>
      <c r="D58" s="5" t="s">
        <v>161</v>
      </c>
      <c r="E58" s="3">
        <v>5.0</v>
      </c>
      <c r="F58" s="3">
        <v>397.0</v>
      </c>
      <c r="G58" s="6">
        <f t="shared" si="4"/>
        <v>1985</v>
      </c>
      <c r="H58" s="3" t="s">
        <v>94</v>
      </c>
      <c r="I58" s="5" t="s">
        <v>24</v>
      </c>
      <c r="J58" s="7"/>
      <c r="K58" s="7"/>
      <c r="L58" s="8" t="s">
        <v>148</v>
      </c>
      <c r="M58" s="9">
        <v>46000.0</v>
      </c>
      <c r="N58" s="5"/>
      <c r="O58" s="5"/>
      <c r="P58" s="4">
        <v>4.571361304534E12</v>
      </c>
      <c r="Q58" s="7"/>
      <c r="R58" s="10"/>
      <c r="S58" s="10"/>
    </row>
    <row r="59">
      <c r="A59" s="2" t="s">
        <v>74</v>
      </c>
      <c r="B59" s="3" t="s">
        <v>143</v>
      </c>
      <c r="C59" s="4" t="s">
        <v>162</v>
      </c>
      <c r="D59" s="5" t="s">
        <v>163</v>
      </c>
      <c r="E59" s="3">
        <v>5.0</v>
      </c>
      <c r="F59" s="3">
        <v>397.0</v>
      </c>
      <c r="G59" s="6">
        <f t="shared" si="4"/>
        <v>1985</v>
      </c>
      <c r="H59" s="3" t="s">
        <v>94</v>
      </c>
      <c r="I59" s="5" t="s">
        <v>24</v>
      </c>
      <c r="J59" s="7"/>
      <c r="K59" s="7"/>
      <c r="L59" s="8" t="s">
        <v>148</v>
      </c>
      <c r="M59" s="9">
        <v>46000.0</v>
      </c>
      <c r="N59" s="5"/>
      <c r="O59" s="5"/>
      <c r="P59" s="4">
        <v>4.571361305593E12</v>
      </c>
      <c r="Q59" s="7"/>
      <c r="R59" s="10"/>
      <c r="S59" s="10"/>
    </row>
    <row r="60">
      <c r="A60" s="2" t="s">
        <v>74</v>
      </c>
      <c r="B60" s="3" t="s">
        <v>143</v>
      </c>
      <c r="C60" s="4" t="s">
        <v>164</v>
      </c>
      <c r="D60" s="5" t="s">
        <v>165</v>
      </c>
      <c r="E60" s="3">
        <v>5.0</v>
      </c>
      <c r="F60" s="3">
        <v>397.0</v>
      </c>
      <c r="G60" s="6">
        <f t="shared" si="4"/>
        <v>1985</v>
      </c>
      <c r="H60" s="3" t="s">
        <v>94</v>
      </c>
      <c r="I60" s="5" t="s">
        <v>24</v>
      </c>
      <c r="J60" s="7"/>
      <c r="K60" s="7"/>
      <c r="L60" s="8" t="s">
        <v>148</v>
      </c>
      <c r="M60" s="9">
        <v>46000.0</v>
      </c>
      <c r="N60" s="5"/>
      <c r="O60" s="5"/>
      <c r="P60" s="4">
        <v>4.571361305616E12</v>
      </c>
      <c r="Q60" s="7"/>
      <c r="R60" s="10"/>
      <c r="S60" s="10"/>
    </row>
    <row r="61">
      <c r="A61" s="2" t="s">
        <v>74</v>
      </c>
      <c r="B61" s="3" t="s">
        <v>91</v>
      </c>
      <c r="C61" s="4" t="s">
        <v>95</v>
      </c>
      <c r="D61" s="5" t="s">
        <v>96</v>
      </c>
      <c r="E61" s="3">
        <v>10.0</v>
      </c>
      <c r="F61" s="3">
        <v>389.0</v>
      </c>
      <c r="G61" s="6">
        <f t="shared" si="4"/>
        <v>3890</v>
      </c>
      <c r="H61" s="3" t="s">
        <v>94</v>
      </c>
      <c r="I61" s="5" t="s">
        <v>24</v>
      </c>
      <c r="J61" s="7"/>
      <c r="K61" s="7"/>
      <c r="L61" s="8" t="s">
        <v>148</v>
      </c>
      <c r="M61" s="9">
        <v>46000.0</v>
      </c>
      <c r="N61" s="5"/>
      <c r="O61" s="5"/>
      <c r="P61" s="4">
        <v>4.562349719549E12</v>
      </c>
      <c r="Q61" s="7"/>
      <c r="R61" s="10"/>
      <c r="S61" s="10"/>
    </row>
    <row r="62">
      <c r="A62" s="2" t="s">
        <v>74</v>
      </c>
      <c r="B62" s="3" t="s">
        <v>91</v>
      </c>
      <c r="C62" s="4" t="s">
        <v>92</v>
      </c>
      <c r="D62" s="5" t="s">
        <v>93</v>
      </c>
      <c r="E62" s="3">
        <v>15.0</v>
      </c>
      <c r="F62" s="3">
        <v>389.0</v>
      </c>
      <c r="G62" s="6">
        <f t="shared" si="4"/>
        <v>5835</v>
      </c>
      <c r="H62" s="3" t="s">
        <v>94</v>
      </c>
      <c r="I62" s="5" t="s">
        <v>24</v>
      </c>
      <c r="J62" s="7"/>
      <c r="K62" s="7"/>
      <c r="L62" s="8" t="s">
        <v>148</v>
      </c>
      <c r="M62" s="9">
        <v>46000.0</v>
      </c>
      <c r="N62" s="5"/>
      <c r="O62" s="5"/>
      <c r="P62" s="4">
        <v>4.562349719556E12</v>
      </c>
      <c r="Q62" s="7"/>
      <c r="R62" s="10"/>
      <c r="S62" s="10"/>
    </row>
    <row r="63">
      <c r="A63" s="2" t="s">
        <v>166</v>
      </c>
      <c r="B63" s="3" t="s">
        <v>43</v>
      </c>
      <c r="C63" s="4" t="s">
        <v>52</v>
      </c>
      <c r="D63" s="5" t="s">
        <v>53</v>
      </c>
      <c r="E63" s="3">
        <v>3.0</v>
      </c>
      <c r="F63" s="3">
        <v>3308.0</v>
      </c>
      <c r="G63" s="6">
        <f t="shared" si="4"/>
        <v>9924</v>
      </c>
      <c r="H63" s="3" t="s">
        <v>23</v>
      </c>
      <c r="I63" s="5" t="s">
        <v>24</v>
      </c>
      <c r="J63" s="7"/>
      <c r="K63" s="7"/>
      <c r="L63" s="8" t="s">
        <v>167</v>
      </c>
      <c r="M63" s="9">
        <v>46000.0</v>
      </c>
      <c r="N63" s="5"/>
      <c r="O63" s="5"/>
      <c r="P63" s="4">
        <v>4.562160134101E12</v>
      </c>
      <c r="Q63" s="7"/>
      <c r="R63" s="10">
        <v>16.1</v>
      </c>
      <c r="S63" s="10" t="s">
        <v>168</v>
      </c>
    </row>
    <row r="64">
      <c r="A64" s="2" t="s">
        <v>166</v>
      </c>
      <c r="B64" s="3" t="s">
        <v>43</v>
      </c>
      <c r="C64" s="4" t="s">
        <v>169</v>
      </c>
      <c r="D64" s="5" t="s">
        <v>170</v>
      </c>
      <c r="E64" s="3">
        <v>5.0</v>
      </c>
      <c r="F64" s="3">
        <v>3308.0</v>
      </c>
      <c r="G64" s="6">
        <f t="shared" si="4"/>
        <v>16540</v>
      </c>
      <c r="H64" s="3" t="s">
        <v>23</v>
      </c>
      <c r="I64" s="5" t="s">
        <v>24</v>
      </c>
      <c r="J64" s="7"/>
      <c r="K64" s="7"/>
      <c r="L64" s="8" t="s">
        <v>167</v>
      </c>
      <c r="M64" s="9">
        <v>46000.0</v>
      </c>
      <c r="N64" s="5"/>
      <c r="O64" s="5"/>
      <c r="P64" s="4">
        <v>4.562160135139E12</v>
      </c>
      <c r="Q64" s="7"/>
      <c r="R64" s="10"/>
      <c r="S64" s="10"/>
    </row>
    <row r="65">
      <c r="A65" s="2" t="s">
        <v>166</v>
      </c>
      <c r="B65" s="3" t="s">
        <v>46</v>
      </c>
      <c r="C65" s="4" t="s">
        <v>47</v>
      </c>
      <c r="D65" s="5" t="s">
        <v>48</v>
      </c>
      <c r="E65" s="3">
        <v>5.0</v>
      </c>
      <c r="F65" s="3">
        <v>1400.0</v>
      </c>
      <c r="G65" s="6">
        <f t="shared" si="4"/>
        <v>7000</v>
      </c>
      <c r="H65" s="3" t="s">
        <v>23</v>
      </c>
      <c r="I65" s="5" t="s">
        <v>24</v>
      </c>
      <c r="J65" s="7"/>
      <c r="K65" s="7"/>
      <c r="L65" s="8" t="s">
        <v>167</v>
      </c>
      <c r="M65" s="9">
        <v>45980.0</v>
      </c>
      <c r="N65" s="5"/>
      <c r="O65" s="5"/>
      <c r="P65" s="4">
        <v>4.562309513798E12</v>
      </c>
      <c r="Q65" s="7"/>
      <c r="R65" s="10"/>
      <c r="S65" s="10"/>
    </row>
    <row r="66">
      <c r="A66" s="2" t="s">
        <v>166</v>
      </c>
      <c r="B66" s="3" t="s">
        <v>88</v>
      </c>
      <c r="C66" s="4" t="s">
        <v>171</v>
      </c>
      <c r="D66" s="5" t="s">
        <v>172</v>
      </c>
      <c r="E66" s="3">
        <v>3.0</v>
      </c>
      <c r="F66" s="3">
        <v>1764.0</v>
      </c>
      <c r="G66" s="6">
        <f t="shared" si="4"/>
        <v>5292</v>
      </c>
      <c r="H66" s="3" t="s">
        <v>23</v>
      </c>
      <c r="I66" s="5" t="s">
        <v>24</v>
      </c>
      <c r="J66" s="7"/>
      <c r="K66" s="7"/>
      <c r="L66" s="8" t="s">
        <v>167</v>
      </c>
      <c r="M66" s="9">
        <v>45985.0</v>
      </c>
      <c r="N66" s="5"/>
      <c r="O66" s="5"/>
      <c r="P66" s="4">
        <v>4.571360813754E12</v>
      </c>
      <c r="Q66" s="7"/>
      <c r="R66" s="10"/>
      <c r="S66" s="10"/>
    </row>
    <row r="67">
      <c r="A67" s="2" t="s">
        <v>166</v>
      </c>
      <c r="B67" s="3" t="s">
        <v>88</v>
      </c>
      <c r="C67" s="4" t="s">
        <v>171</v>
      </c>
      <c r="D67" s="5" t="s">
        <v>172</v>
      </c>
      <c r="E67" s="3">
        <v>3.0</v>
      </c>
      <c r="F67" s="3">
        <v>1764.0</v>
      </c>
      <c r="G67" s="6">
        <f t="shared" si="4"/>
        <v>5292</v>
      </c>
      <c r="H67" s="3" t="s">
        <v>23</v>
      </c>
      <c r="I67" s="5" t="s">
        <v>24</v>
      </c>
      <c r="J67" s="7"/>
      <c r="K67" s="7"/>
      <c r="L67" s="8" t="s">
        <v>167</v>
      </c>
      <c r="M67" s="9">
        <v>46000.0</v>
      </c>
      <c r="N67" s="5"/>
      <c r="O67" s="5"/>
      <c r="P67" s="4">
        <v>4.571360813754E12</v>
      </c>
      <c r="Q67" s="7"/>
      <c r="R67" s="10"/>
      <c r="S67" s="10"/>
    </row>
    <row r="68">
      <c r="A68" s="2" t="s">
        <v>166</v>
      </c>
      <c r="B68" s="3" t="s">
        <v>88</v>
      </c>
      <c r="C68" s="4" t="s">
        <v>173</v>
      </c>
      <c r="D68" s="5" t="s">
        <v>174</v>
      </c>
      <c r="E68" s="3">
        <v>4.0</v>
      </c>
      <c r="F68" s="3">
        <v>1798.0</v>
      </c>
      <c r="G68" s="6">
        <f t="shared" si="4"/>
        <v>7192</v>
      </c>
      <c r="H68" s="3" t="s">
        <v>23</v>
      </c>
      <c r="I68" s="5" t="s">
        <v>24</v>
      </c>
      <c r="J68" s="7"/>
      <c r="K68" s="7"/>
      <c r="L68" s="8" t="s">
        <v>167</v>
      </c>
      <c r="M68" s="9">
        <v>46000.0</v>
      </c>
      <c r="N68" s="5"/>
      <c r="O68" s="5"/>
      <c r="P68" s="4">
        <v>4.571360813853E12</v>
      </c>
      <c r="Q68" s="7"/>
      <c r="R68" s="10"/>
      <c r="S68" s="10"/>
    </row>
    <row r="69">
      <c r="A69" s="2" t="s">
        <v>166</v>
      </c>
      <c r="B69" s="3" t="s">
        <v>88</v>
      </c>
      <c r="C69" s="4" t="s">
        <v>175</v>
      </c>
      <c r="D69" s="5" t="s">
        <v>176</v>
      </c>
      <c r="E69" s="3">
        <v>5.0</v>
      </c>
      <c r="F69" s="3">
        <v>2117.0</v>
      </c>
      <c r="G69" s="6">
        <f t="shared" si="4"/>
        <v>10585</v>
      </c>
      <c r="H69" s="3" t="s">
        <v>23</v>
      </c>
      <c r="I69" s="5" t="s">
        <v>24</v>
      </c>
      <c r="J69" s="7"/>
      <c r="K69" s="7"/>
      <c r="L69" s="8" t="s">
        <v>177</v>
      </c>
      <c r="M69" s="9">
        <v>46000.0</v>
      </c>
      <c r="N69" s="5"/>
      <c r="O69" s="5" t="s">
        <v>178</v>
      </c>
      <c r="P69" s="4">
        <v>4.571360812375E12</v>
      </c>
      <c r="Q69" s="7"/>
      <c r="R69" s="10">
        <v>10.9</v>
      </c>
      <c r="S69" s="10" t="s">
        <v>120</v>
      </c>
    </row>
    <row r="70">
      <c r="A70" s="2" t="s">
        <v>166</v>
      </c>
      <c r="B70" s="3" t="s">
        <v>179</v>
      </c>
      <c r="C70" s="4">
        <v>1255.0</v>
      </c>
      <c r="D70" s="5" t="s">
        <v>180</v>
      </c>
      <c r="E70" s="3">
        <v>2.0</v>
      </c>
      <c r="F70" s="3">
        <v>1644.0</v>
      </c>
      <c r="G70" s="6">
        <f t="shared" si="4"/>
        <v>3288</v>
      </c>
      <c r="H70" s="3" t="s">
        <v>23</v>
      </c>
      <c r="I70" s="5" t="s">
        <v>24</v>
      </c>
      <c r="J70" s="7"/>
      <c r="K70" s="7"/>
      <c r="L70" s="8" t="s">
        <v>177</v>
      </c>
      <c r="M70" s="9">
        <v>46000.0</v>
      </c>
      <c r="N70" s="5"/>
      <c r="O70" s="5"/>
      <c r="P70" s="4">
        <v>4.571324242736E12</v>
      </c>
      <c r="Q70" s="7"/>
      <c r="R70" s="10"/>
      <c r="S70" s="10"/>
    </row>
    <row r="71">
      <c r="A71" s="2" t="s">
        <v>166</v>
      </c>
      <c r="B71" s="3" t="s">
        <v>179</v>
      </c>
      <c r="C71" s="4">
        <v>1271.0</v>
      </c>
      <c r="D71" s="5" t="s">
        <v>181</v>
      </c>
      <c r="E71" s="3">
        <v>2.0</v>
      </c>
      <c r="F71" s="3">
        <v>2760.0</v>
      </c>
      <c r="G71" s="6">
        <f t="shared" si="4"/>
        <v>5520</v>
      </c>
      <c r="H71" s="3" t="s">
        <v>23</v>
      </c>
      <c r="I71" s="5" t="s">
        <v>24</v>
      </c>
      <c r="J71" s="7"/>
      <c r="K71" s="7"/>
      <c r="L71" s="8" t="s">
        <v>177</v>
      </c>
      <c r="M71" s="9">
        <v>46000.0</v>
      </c>
      <c r="N71" s="5"/>
      <c r="O71" s="5"/>
      <c r="P71" s="4">
        <v>4.571324243184E12</v>
      </c>
      <c r="Q71" s="7"/>
      <c r="R71" s="10"/>
      <c r="S71" s="10"/>
    </row>
    <row r="72">
      <c r="A72" s="2" t="s">
        <v>166</v>
      </c>
      <c r="B72" s="3" t="s">
        <v>179</v>
      </c>
      <c r="C72" s="4">
        <v>1429.0</v>
      </c>
      <c r="D72" s="5" t="s">
        <v>182</v>
      </c>
      <c r="E72" s="3">
        <v>1.0</v>
      </c>
      <c r="F72" s="3">
        <v>1740.0</v>
      </c>
      <c r="G72" s="6">
        <f t="shared" si="4"/>
        <v>1740</v>
      </c>
      <c r="H72" s="3" t="s">
        <v>23</v>
      </c>
      <c r="I72" s="5" t="s">
        <v>24</v>
      </c>
      <c r="J72" s="7"/>
      <c r="K72" s="7"/>
      <c r="L72" s="8" t="s">
        <v>177</v>
      </c>
      <c r="M72" s="9">
        <v>46000.0</v>
      </c>
      <c r="N72" s="5"/>
      <c r="O72" s="5"/>
      <c r="P72" s="4">
        <v>4.571324245799E12</v>
      </c>
      <c r="Q72" s="7"/>
      <c r="R72" s="10"/>
      <c r="S72" s="10"/>
    </row>
    <row r="73">
      <c r="A73" s="2" t="s">
        <v>166</v>
      </c>
      <c r="B73" s="3" t="s">
        <v>179</v>
      </c>
      <c r="C73" s="4">
        <v>1272.0</v>
      </c>
      <c r="D73" s="5" t="s">
        <v>183</v>
      </c>
      <c r="E73" s="3">
        <v>2.0</v>
      </c>
      <c r="F73" s="3">
        <v>1440.0</v>
      </c>
      <c r="G73" s="6">
        <f t="shared" si="4"/>
        <v>2880</v>
      </c>
      <c r="H73" s="3" t="s">
        <v>23</v>
      </c>
      <c r="I73" s="5" t="s">
        <v>24</v>
      </c>
      <c r="J73" s="7"/>
      <c r="K73" s="7"/>
      <c r="L73" s="8" t="s">
        <v>177</v>
      </c>
      <c r="M73" s="9">
        <v>46000.0</v>
      </c>
      <c r="N73" s="5"/>
      <c r="O73" s="5"/>
      <c r="P73" s="4">
        <v>4.571324243214E12</v>
      </c>
      <c r="Q73" s="7"/>
      <c r="R73" s="10"/>
      <c r="S73" s="10"/>
    </row>
    <row r="74">
      <c r="A74" s="2" t="s">
        <v>166</v>
      </c>
      <c r="B74" s="3" t="s">
        <v>179</v>
      </c>
      <c r="C74" s="4">
        <v>1430.0</v>
      </c>
      <c r="D74" s="5" t="s">
        <v>184</v>
      </c>
      <c r="E74" s="3">
        <v>1.0</v>
      </c>
      <c r="F74" s="3">
        <v>1740.0</v>
      </c>
      <c r="G74" s="6">
        <f t="shared" si="4"/>
        <v>1740</v>
      </c>
      <c r="H74" s="3" t="s">
        <v>23</v>
      </c>
      <c r="I74" s="5" t="s">
        <v>24</v>
      </c>
      <c r="J74" s="7"/>
      <c r="K74" s="7"/>
      <c r="L74" s="8" t="s">
        <v>177</v>
      </c>
      <c r="M74" s="9">
        <v>46000.0</v>
      </c>
      <c r="N74" s="5"/>
      <c r="O74" s="5"/>
      <c r="P74" s="4">
        <v>4.571324245805E12</v>
      </c>
      <c r="Q74" s="7"/>
      <c r="R74" s="10"/>
      <c r="S74" s="10"/>
    </row>
    <row r="75">
      <c r="A75" s="2" t="s">
        <v>166</v>
      </c>
      <c r="B75" s="3" t="s">
        <v>179</v>
      </c>
      <c r="C75" s="4">
        <v>1414.0</v>
      </c>
      <c r="D75" s="5" t="s">
        <v>185</v>
      </c>
      <c r="E75" s="3">
        <v>2.0</v>
      </c>
      <c r="F75" s="3">
        <v>2760.0</v>
      </c>
      <c r="G75" s="6">
        <f t="shared" si="4"/>
        <v>5520</v>
      </c>
      <c r="H75" s="3" t="s">
        <v>23</v>
      </c>
      <c r="I75" s="5" t="s">
        <v>24</v>
      </c>
      <c r="J75" s="7"/>
      <c r="K75" s="7"/>
      <c r="L75" s="8" t="s">
        <v>177</v>
      </c>
      <c r="M75" s="9">
        <v>46000.0</v>
      </c>
      <c r="N75" s="5"/>
      <c r="O75" s="5"/>
      <c r="P75" s="4">
        <v>4.571324245638E12</v>
      </c>
      <c r="Q75" s="7"/>
      <c r="R75" s="10"/>
      <c r="S75" s="10"/>
    </row>
    <row r="76">
      <c r="A76" s="2" t="s">
        <v>166</v>
      </c>
      <c r="B76" s="3" t="s">
        <v>46</v>
      </c>
      <c r="C76" s="4" t="s">
        <v>186</v>
      </c>
      <c r="D76" s="5" t="s">
        <v>187</v>
      </c>
      <c r="E76" s="3">
        <v>5.0</v>
      </c>
      <c r="F76" s="3">
        <v>1400.0</v>
      </c>
      <c r="G76" s="6">
        <f t="shared" si="4"/>
        <v>7000</v>
      </c>
      <c r="H76" s="3" t="s">
        <v>23</v>
      </c>
      <c r="I76" s="5" t="s">
        <v>24</v>
      </c>
      <c r="J76" s="7"/>
      <c r="K76" s="7"/>
      <c r="L76" s="8" t="s">
        <v>188</v>
      </c>
      <c r="M76" s="9">
        <v>46000.0</v>
      </c>
      <c r="N76" s="5"/>
      <c r="O76" s="5" t="s">
        <v>189</v>
      </c>
      <c r="P76" s="4">
        <v>4.56230951346E12</v>
      </c>
      <c r="Q76" s="7"/>
      <c r="R76" s="10">
        <v>17.9</v>
      </c>
      <c r="S76" s="10" t="s">
        <v>190</v>
      </c>
    </row>
    <row r="77">
      <c r="A77" s="2" t="s">
        <v>166</v>
      </c>
      <c r="B77" s="3" t="s">
        <v>46</v>
      </c>
      <c r="C77" s="4" t="s">
        <v>191</v>
      </c>
      <c r="D77" s="5" t="s">
        <v>192</v>
      </c>
      <c r="E77" s="3">
        <v>10.0</v>
      </c>
      <c r="F77" s="3">
        <v>1390.0</v>
      </c>
      <c r="G77" s="6">
        <f t="shared" si="4"/>
        <v>13900</v>
      </c>
      <c r="H77" s="3" t="s">
        <v>23</v>
      </c>
      <c r="I77" s="5" t="s">
        <v>24</v>
      </c>
      <c r="J77" s="7"/>
      <c r="K77" s="7"/>
      <c r="L77" s="8" t="s">
        <v>188</v>
      </c>
      <c r="M77" s="9">
        <v>46000.0</v>
      </c>
      <c r="N77" s="5"/>
      <c r="O77" s="5" t="s">
        <v>193</v>
      </c>
      <c r="P77" s="4">
        <v>4.56230951263E12</v>
      </c>
      <c r="Q77" s="7"/>
      <c r="R77" s="10"/>
      <c r="S77" s="10"/>
    </row>
    <row r="78">
      <c r="A78" s="2" t="s">
        <v>166</v>
      </c>
      <c r="B78" s="3" t="s">
        <v>46</v>
      </c>
      <c r="C78" s="4" t="s">
        <v>194</v>
      </c>
      <c r="D78" s="5" t="s">
        <v>195</v>
      </c>
      <c r="E78" s="3">
        <v>5.0</v>
      </c>
      <c r="F78" s="3">
        <v>1390.0</v>
      </c>
      <c r="G78" s="6">
        <f t="shared" si="4"/>
        <v>6950</v>
      </c>
      <c r="H78" s="3" t="s">
        <v>23</v>
      </c>
      <c r="I78" s="5" t="s">
        <v>24</v>
      </c>
      <c r="J78" s="7"/>
      <c r="K78" s="7"/>
      <c r="L78" s="8" t="s">
        <v>188</v>
      </c>
      <c r="M78" s="9">
        <v>46000.0</v>
      </c>
      <c r="N78" s="5"/>
      <c r="O78" s="5" t="s">
        <v>193</v>
      </c>
      <c r="P78" s="4">
        <v>4.562309511398E12</v>
      </c>
      <c r="Q78" s="7"/>
      <c r="R78" s="10"/>
      <c r="S78" s="10"/>
    </row>
    <row r="79">
      <c r="A79" s="2" t="s">
        <v>166</v>
      </c>
      <c r="B79" s="3" t="s">
        <v>46</v>
      </c>
      <c r="C79" s="4" t="s">
        <v>196</v>
      </c>
      <c r="D79" s="5" t="s">
        <v>197</v>
      </c>
      <c r="E79" s="3">
        <v>5.0</v>
      </c>
      <c r="F79" s="3">
        <v>1560.0</v>
      </c>
      <c r="G79" s="6">
        <f t="shared" si="4"/>
        <v>7800</v>
      </c>
      <c r="H79" s="3" t="s">
        <v>23</v>
      </c>
      <c r="I79" s="5" t="s">
        <v>24</v>
      </c>
      <c r="J79" s="7"/>
      <c r="K79" s="7"/>
      <c r="L79" s="8" t="s">
        <v>188</v>
      </c>
      <c r="M79" s="9">
        <v>46000.0</v>
      </c>
      <c r="N79" s="5"/>
      <c r="O79" s="5" t="s">
        <v>198</v>
      </c>
      <c r="P79" s="4">
        <v>4.562309511671E12</v>
      </c>
      <c r="Q79" s="7"/>
      <c r="R79" s="10"/>
      <c r="S79" s="10"/>
    </row>
    <row r="80">
      <c r="A80" s="2" t="s">
        <v>166</v>
      </c>
      <c r="B80" s="3" t="s">
        <v>46</v>
      </c>
      <c r="C80" s="4" t="s">
        <v>199</v>
      </c>
      <c r="D80" s="5" t="s">
        <v>200</v>
      </c>
      <c r="E80" s="3">
        <v>5.0</v>
      </c>
      <c r="F80" s="3">
        <v>1170.0</v>
      </c>
      <c r="G80" s="6">
        <f t="shared" si="4"/>
        <v>5850</v>
      </c>
      <c r="H80" s="3" t="s">
        <v>23</v>
      </c>
      <c r="I80" s="5" t="s">
        <v>24</v>
      </c>
      <c r="J80" s="7"/>
      <c r="K80" s="7"/>
      <c r="L80" s="8" t="s">
        <v>188</v>
      </c>
      <c r="M80" s="9">
        <v>46000.0</v>
      </c>
      <c r="N80" s="5"/>
      <c r="O80" s="5" t="s">
        <v>201</v>
      </c>
      <c r="P80" s="4">
        <v>4.562309513422E12</v>
      </c>
      <c r="Q80" s="7"/>
      <c r="R80" s="10"/>
      <c r="S80" s="10"/>
    </row>
    <row r="81">
      <c r="A81" s="2" t="s">
        <v>166</v>
      </c>
      <c r="B81" s="3" t="s">
        <v>46</v>
      </c>
      <c r="C81" s="4" t="s">
        <v>47</v>
      </c>
      <c r="D81" s="5" t="s">
        <v>48</v>
      </c>
      <c r="E81" s="3">
        <v>3.0</v>
      </c>
      <c r="F81" s="3">
        <v>1400.0</v>
      </c>
      <c r="G81" s="6">
        <f t="shared" si="4"/>
        <v>4200</v>
      </c>
      <c r="H81" s="3" t="s">
        <v>23</v>
      </c>
      <c r="I81" s="5" t="s">
        <v>24</v>
      </c>
      <c r="J81" s="7"/>
      <c r="K81" s="7"/>
      <c r="L81" s="8" t="s">
        <v>188</v>
      </c>
      <c r="M81" s="9">
        <v>46000.0</v>
      </c>
      <c r="N81" s="5"/>
      <c r="O81" s="5"/>
      <c r="P81" s="4">
        <v>4.562309513798E12</v>
      </c>
      <c r="Q81" s="7"/>
      <c r="R81" s="10"/>
      <c r="S81" s="10"/>
    </row>
    <row r="82">
      <c r="A82" s="2" t="s">
        <v>166</v>
      </c>
      <c r="B82" s="3" t="s">
        <v>46</v>
      </c>
      <c r="C82" s="4" t="s">
        <v>202</v>
      </c>
      <c r="D82" s="5" t="s">
        <v>203</v>
      </c>
      <c r="E82" s="3">
        <v>3.0</v>
      </c>
      <c r="F82" s="3">
        <v>1150.0</v>
      </c>
      <c r="G82" s="6">
        <f t="shared" si="4"/>
        <v>3450</v>
      </c>
      <c r="H82" s="3" t="s">
        <v>23</v>
      </c>
      <c r="I82" s="5" t="s">
        <v>24</v>
      </c>
      <c r="J82" s="7"/>
      <c r="K82" s="7"/>
      <c r="L82" s="8" t="s">
        <v>188</v>
      </c>
      <c r="M82" s="9">
        <v>46000.0</v>
      </c>
      <c r="N82" s="5"/>
      <c r="O82" s="5" t="s">
        <v>204</v>
      </c>
      <c r="P82" s="4">
        <v>4.562309511367E12</v>
      </c>
      <c r="Q82" s="7"/>
      <c r="R82" s="10"/>
      <c r="S82" s="10"/>
    </row>
    <row r="83">
      <c r="A83" s="2" t="s">
        <v>166</v>
      </c>
      <c r="B83" s="3" t="s">
        <v>46</v>
      </c>
      <c r="C83" s="4" t="s">
        <v>205</v>
      </c>
      <c r="D83" s="5" t="s">
        <v>206</v>
      </c>
      <c r="E83" s="3">
        <v>2.0</v>
      </c>
      <c r="F83" s="3">
        <v>1050.0</v>
      </c>
      <c r="G83" s="6">
        <f t="shared" si="4"/>
        <v>2100</v>
      </c>
      <c r="H83" s="3" t="s">
        <v>23</v>
      </c>
      <c r="I83" s="5" t="s">
        <v>24</v>
      </c>
      <c r="J83" s="7"/>
      <c r="K83" s="7"/>
      <c r="L83" s="8" t="s">
        <v>207</v>
      </c>
      <c r="M83" s="9">
        <v>46000.0</v>
      </c>
      <c r="N83" s="5"/>
      <c r="O83" s="5" t="s">
        <v>208</v>
      </c>
      <c r="P83" s="4">
        <v>4.562309511299E12</v>
      </c>
      <c r="Q83" s="7"/>
      <c r="R83" s="10">
        <v>17.8</v>
      </c>
      <c r="S83" s="10" t="s">
        <v>209</v>
      </c>
    </row>
    <row r="84">
      <c r="A84" s="2" t="s">
        <v>166</v>
      </c>
      <c r="B84" s="3" t="s">
        <v>46</v>
      </c>
      <c r="C84" s="4" t="s">
        <v>210</v>
      </c>
      <c r="D84" s="5" t="s">
        <v>211</v>
      </c>
      <c r="E84" s="3">
        <v>1.0</v>
      </c>
      <c r="F84" s="3">
        <v>1250.0</v>
      </c>
      <c r="G84" s="6">
        <f t="shared" si="4"/>
        <v>1250</v>
      </c>
      <c r="H84" s="3" t="s">
        <v>23</v>
      </c>
      <c r="I84" s="5" t="s">
        <v>24</v>
      </c>
      <c r="J84" s="7"/>
      <c r="K84" s="7"/>
      <c r="L84" s="8" t="s">
        <v>207</v>
      </c>
      <c r="M84" s="9">
        <v>46000.0</v>
      </c>
      <c r="N84" s="5"/>
      <c r="O84" s="5" t="s">
        <v>212</v>
      </c>
      <c r="P84" s="4">
        <v>4.56230951362E12</v>
      </c>
      <c r="Q84" s="7"/>
      <c r="R84" s="10"/>
      <c r="S84" s="10"/>
    </row>
    <row r="85">
      <c r="A85" s="2" t="s">
        <v>166</v>
      </c>
      <c r="B85" s="3" t="s">
        <v>46</v>
      </c>
      <c r="C85" s="4" t="s">
        <v>213</v>
      </c>
      <c r="D85" s="5" t="s">
        <v>214</v>
      </c>
      <c r="E85" s="3">
        <v>2.0</v>
      </c>
      <c r="F85" s="3">
        <v>1400.0</v>
      </c>
      <c r="G85" s="6">
        <f t="shared" si="4"/>
        <v>2800</v>
      </c>
      <c r="H85" s="3" t="s">
        <v>23</v>
      </c>
      <c r="I85" s="5" t="s">
        <v>24</v>
      </c>
      <c r="J85" s="7"/>
      <c r="K85" s="7"/>
      <c r="L85" s="8" t="s">
        <v>207</v>
      </c>
      <c r="M85" s="9">
        <v>46000.0</v>
      </c>
      <c r="N85" s="5"/>
      <c r="O85" s="5" t="s">
        <v>189</v>
      </c>
      <c r="P85" s="4">
        <v>4.562309513606E12</v>
      </c>
      <c r="Q85" s="7"/>
      <c r="R85" s="10"/>
      <c r="S85" s="10"/>
    </row>
    <row r="86">
      <c r="A86" s="2" t="s">
        <v>166</v>
      </c>
      <c r="B86" s="3" t="s">
        <v>46</v>
      </c>
      <c r="C86" s="4" t="s">
        <v>215</v>
      </c>
      <c r="D86" s="5" t="s">
        <v>216</v>
      </c>
      <c r="E86" s="3">
        <v>5.0</v>
      </c>
      <c r="F86" s="3">
        <v>610.0</v>
      </c>
      <c r="G86" s="6">
        <f t="shared" si="4"/>
        <v>3050</v>
      </c>
      <c r="H86" s="3" t="s">
        <v>23</v>
      </c>
      <c r="I86" s="5" t="s">
        <v>24</v>
      </c>
      <c r="J86" s="7"/>
      <c r="K86" s="7"/>
      <c r="L86" s="8" t="s">
        <v>207</v>
      </c>
      <c r="M86" s="9">
        <v>46000.0</v>
      </c>
      <c r="N86" s="5"/>
      <c r="O86" s="5" t="s">
        <v>217</v>
      </c>
      <c r="P86" s="4">
        <v>4.562309512722E12</v>
      </c>
      <c r="Q86" s="7"/>
      <c r="R86" s="10"/>
      <c r="S86" s="10"/>
    </row>
    <row r="87">
      <c r="A87" s="2" t="s">
        <v>166</v>
      </c>
      <c r="B87" s="3" t="s">
        <v>46</v>
      </c>
      <c r="C87" s="4" t="s">
        <v>218</v>
      </c>
      <c r="D87" s="5" t="s">
        <v>219</v>
      </c>
      <c r="E87" s="3">
        <v>2.0</v>
      </c>
      <c r="F87" s="3">
        <v>1450.0</v>
      </c>
      <c r="G87" s="6">
        <f t="shared" si="4"/>
        <v>2900</v>
      </c>
      <c r="H87" s="3" t="s">
        <v>23</v>
      </c>
      <c r="I87" s="5" t="s">
        <v>24</v>
      </c>
      <c r="J87" s="7"/>
      <c r="K87" s="7"/>
      <c r="L87" s="8" t="s">
        <v>207</v>
      </c>
      <c r="M87" s="9">
        <v>46000.0</v>
      </c>
      <c r="N87" s="5"/>
      <c r="O87" s="5" t="s">
        <v>220</v>
      </c>
      <c r="P87" s="4">
        <v>4.562309512609E12</v>
      </c>
      <c r="Q87" s="7"/>
      <c r="R87" s="10"/>
      <c r="S87" s="10"/>
    </row>
    <row r="88">
      <c r="A88" s="2" t="s">
        <v>166</v>
      </c>
      <c r="B88" s="3" t="s">
        <v>46</v>
      </c>
      <c r="C88" s="4" t="s">
        <v>221</v>
      </c>
      <c r="D88" s="5" t="s">
        <v>222</v>
      </c>
      <c r="E88" s="3">
        <v>2.0</v>
      </c>
      <c r="F88" s="3">
        <v>450.0</v>
      </c>
      <c r="G88" s="6">
        <f t="shared" si="4"/>
        <v>900</v>
      </c>
      <c r="H88" s="3" t="s">
        <v>23</v>
      </c>
      <c r="I88" s="5" t="s">
        <v>24</v>
      </c>
      <c r="J88" s="7"/>
      <c r="K88" s="7"/>
      <c r="L88" s="8" t="s">
        <v>207</v>
      </c>
      <c r="M88" s="9">
        <v>46000.0</v>
      </c>
      <c r="N88" s="5"/>
      <c r="O88" s="5" t="s">
        <v>223</v>
      </c>
      <c r="P88" s="4">
        <v>4.562309511619E12</v>
      </c>
      <c r="Q88" s="7"/>
      <c r="R88" s="10"/>
      <c r="S88" s="10"/>
    </row>
    <row r="89">
      <c r="A89" s="2" t="s">
        <v>166</v>
      </c>
      <c r="B89" s="3" t="s">
        <v>46</v>
      </c>
      <c r="C89" s="4" t="s">
        <v>224</v>
      </c>
      <c r="D89" s="5" t="s">
        <v>225</v>
      </c>
      <c r="E89" s="3">
        <v>5.0</v>
      </c>
      <c r="F89" s="3">
        <v>450.0</v>
      </c>
      <c r="G89" s="6">
        <f t="shared" si="4"/>
        <v>2250</v>
      </c>
      <c r="H89" s="3" t="s">
        <v>23</v>
      </c>
      <c r="I89" s="5" t="s">
        <v>24</v>
      </c>
      <c r="J89" s="7"/>
      <c r="K89" s="7"/>
      <c r="L89" s="8" t="s">
        <v>207</v>
      </c>
      <c r="M89" s="9">
        <v>46000.0</v>
      </c>
      <c r="N89" s="5"/>
      <c r="O89" s="5" t="s">
        <v>223</v>
      </c>
      <c r="P89" s="4">
        <v>4.562309511633E12</v>
      </c>
      <c r="Q89" s="7"/>
      <c r="R89" s="10"/>
      <c r="S89" s="10"/>
    </row>
    <row r="90">
      <c r="A90" s="2" t="s">
        <v>166</v>
      </c>
      <c r="B90" s="3" t="s">
        <v>46</v>
      </c>
      <c r="C90" s="4" t="s">
        <v>226</v>
      </c>
      <c r="D90" s="5" t="s">
        <v>227</v>
      </c>
      <c r="E90" s="3">
        <v>1.0</v>
      </c>
      <c r="F90" s="3">
        <v>1510.0</v>
      </c>
      <c r="G90" s="6">
        <f t="shared" si="4"/>
        <v>1510</v>
      </c>
      <c r="H90" s="3" t="s">
        <v>23</v>
      </c>
      <c r="I90" s="5" t="s">
        <v>24</v>
      </c>
      <c r="J90" s="7"/>
      <c r="K90" s="7"/>
      <c r="L90" s="8" t="s">
        <v>207</v>
      </c>
      <c r="M90" s="9">
        <v>46000.0</v>
      </c>
      <c r="N90" s="5"/>
      <c r="O90" s="5" t="s">
        <v>228</v>
      </c>
      <c r="P90" s="4">
        <v>4.562309512883E12</v>
      </c>
      <c r="Q90" s="7"/>
      <c r="R90" s="10"/>
      <c r="S90" s="10"/>
    </row>
    <row r="91">
      <c r="A91" s="2" t="s">
        <v>166</v>
      </c>
      <c r="B91" s="3" t="s">
        <v>46</v>
      </c>
      <c r="C91" s="4" t="s">
        <v>229</v>
      </c>
      <c r="D91" s="5" t="s">
        <v>230</v>
      </c>
      <c r="E91" s="3">
        <v>5.0</v>
      </c>
      <c r="F91" s="3">
        <v>1390.0</v>
      </c>
      <c r="G91" s="6">
        <f t="shared" si="4"/>
        <v>6950</v>
      </c>
      <c r="H91" s="3" t="s">
        <v>23</v>
      </c>
      <c r="I91" s="5" t="s">
        <v>24</v>
      </c>
      <c r="J91" s="7"/>
      <c r="K91" s="7"/>
      <c r="L91" s="8" t="s">
        <v>207</v>
      </c>
      <c r="M91" s="9">
        <v>46000.0</v>
      </c>
      <c r="N91" s="5"/>
      <c r="O91" s="5" t="s">
        <v>193</v>
      </c>
      <c r="P91" s="4">
        <v>4.562309510834E12</v>
      </c>
      <c r="Q91" s="7"/>
      <c r="R91" s="10"/>
      <c r="S91" s="10"/>
    </row>
    <row r="92">
      <c r="A92" s="2" t="s">
        <v>166</v>
      </c>
      <c r="B92" s="3" t="s">
        <v>46</v>
      </c>
      <c r="C92" s="4" t="s">
        <v>231</v>
      </c>
      <c r="D92" s="5" t="s">
        <v>232</v>
      </c>
      <c r="E92" s="3">
        <v>7.0</v>
      </c>
      <c r="F92" s="3">
        <v>2290.0</v>
      </c>
      <c r="G92" s="6">
        <f t="shared" si="4"/>
        <v>16030</v>
      </c>
      <c r="H92" s="3" t="s">
        <v>23</v>
      </c>
      <c r="I92" s="5" t="s">
        <v>24</v>
      </c>
      <c r="J92" s="7"/>
      <c r="K92" s="7"/>
      <c r="L92" s="8" t="s">
        <v>207</v>
      </c>
      <c r="M92" s="9">
        <v>46000.0</v>
      </c>
      <c r="N92" s="5"/>
      <c r="O92" s="5" t="s">
        <v>233</v>
      </c>
      <c r="P92" s="4">
        <v>4.562309511817E12</v>
      </c>
      <c r="Q92" s="7"/>
      <c r="R92" s="10"/>
      <c r="S92" s="10"/>
    </row>
    <row r="93">
      <c r="A93" s="2" t="s">
        <v>166</v>
      </c>
      <c r="B93" s="3" t="s">
        <v>46</v>
      </c>
      <c r="C93" s="4" t="s">
        <v>234</v>
      </c>
      <c r="D93" s="5" t="s">
        <v>235</v>
      </c>
      <c r="E93" s="3">
        <v>3.0</v>
      </c>
      <c r="F93" s="3">
        <v>1800.0</v>
      </c>
      <c r="G93" s="6">
        <f t="shared" si="4"/>
        <v>5400</v>
      </c>
      <c r="H93" s="3" t="s">
        <v>23</v>
      </c>
      <c r="I93" s="5" t="s">
        <v>24</v>
      </c>
      <c r="J93" s="7"/>
      <c r="K93" s="7"/>
      <c r="L93" s="8" t="s">
        <v>207</v>
      </c>
      <c r="M93" s="9">
        <v>46000.0</v>
      </c>
      <c r="N93" s="5"/>
      <c r="O93" s="5" t="s">
        <v>236</v>
      </c>
      <c r="P93" s="4">
        <v>4.562309513613E12</v>
      </c>
      <c r="Q93" s="7"/>
      <c r="R93" s="10"/>
      <c r="S93" s="10"/>
    </row>
    <row r="94">
      <c r="A94" s="2" t="s">
        <v>166</v>
      </c>
      <c r="B94" s="3" t="s">
        <v>46</v>
      </c>
      <c r="C94" s="4" t="s">
        <v>237</v>
      </c>
      <c r="D94" s="5" t="s">
        <v>238</v>
      </c>
      <c r="E94" s="3">
        <v>3.0</v>
      </c>
      <c r="F94" s="3">
        <v>450.0</v>
      </c>
      <c r="G94" s="6">
        <f t="shared" si="4"/>
        <v>1350</v>
      </c>
      <c r="H94" s="3" t="s">
        <v>23</v>
      </c>
      <c r="I94" s="5" t="s">
        <v>24</v>
      </c>
      <c r="J94" s="7"/>
      <c r="K94" s="7"/>
      <c r="L94" s="8" t="s">
        <v>207</v>
      </c>
      <c r="M94" s="9">
        <v>46000.0</v>
      </c>
      <c r="N94" s="5"/>
      <c r="O94" s="5" t="s">
        <v>223</v>
      </c>
      <c r="P94" s="4">
        <v>4.562309511626E12</v>
      </c>
      <c r="Q94" s="7"/>
      <c r="R94" s="10"/>
      <c r="S94" s="10"/>
    </row>
    <row r="95">
      <c r="A95" s="2" t="s">
        <v>166</v>
      </c>
      <c r="B95" s="3" t="s">
        <v>40</v>
      </c>
      <c r="C95" s="4" t="s">
        <v>239</v>
      </c>
      <c r="D95" s="5" t="s">
        <v>240</v>
      </c>
      <c r="E95" s="3">
        <v>10.0</v>
      </c>
      <c r="F95" s="3">
        <v>1270.0</v>
      </c>
      <c r="G95" s="6">
        <f t="shared" si="4"/>
        <v>12700</v>
      </c>
      <c r="H95" s="3" t="s">
        <v>23</v>
      </c>
      <c r="I95" s="5" t="s">
        <v>24</v>
      </c>
      <c r="J95" s="7"/>
      <c r="K95" s="7"/>
      <c r="L95" s="8" t="s">
        <v>241</v>
      </c>
      <c r="M95" s="9">
        <v>45973.0</v>
      </c>
      <c r="N95" s="5"/>
      <c r="O95" s="5"/>
      <c r="P95" s="4">
        <v>4.580490000354E12</v>
      </c>
      <c r="Q95" s="7"/>
      <c r="R95" s="10">
        <v>14.3</v>
      </c>
      <c r="S95" s="10" t="s">
        <v>60</v>
      </c>
    </row>
    <row r="96">
      <c r="A96" s="2" t="s">
        <v>166</v>
      </c>
      <c r="B96" s="3" t="s">
        <v>40</v>
      </c>
      <c r="C96" s="4" t="s">
        <v>239</v>
      </c>
      <c r="D96" s="5" t="s">
        <v>240</v>
      </c>
      <c r="E96" s="3">
        <v>5.0</v>
      </c>
      <c r="F96" s="3">
        <v>1270.0</v>
      </c>
      <c r="G96" s="6">
        <f t="shared" si="4"/>
        <v>6350</v>
      </c>
      <c r="H96" s="3" t="s">
        <v>23</v>
      </c>
      <c r="I96" s="5" t="s">
        <v>24</v>
      </c>
      <c r="J96" s="7"/>
      <c r="K96" s="7"/>
      <c r="L96" s="8" t="s">
        <v>241</v>
      </c>
      <c r="M96" s="9">
        <v>46000.0</v>
      </c>
      <c r="N96" s="5"/>
      <c r="O96" s="5"/>
      <c r="P96" s="4">
        <v>4.580490000354E12</v>
      </c>
      <c r="Q96" s="7"/>
      <c r="R96" s="10"/>
      <c r="S96" s="10"/>
    </row>
    <row r="97">
      <c r="A97" s="2" t="s">
        <v>166</v>
      </c>
      <c r="B97" s="3" t="s">
        <v>40</v>
      </c>
      <c r="C97" s="4" t="s">
        <v>242</v>
      </c>
      <c r="D97" s="5" t="s">
        <v>243</v>
      </c>
      <c r="E97" s="3">
        <v>2.0</v>
      </c>
      <c r="F97" s="3">
        <v>1940.0</v>
      </c>
      <c r="G97" s="6">
        <f t="shared" si="4"/>
        <v>3880</v>
      </c>
      <c r="H97" s="3" t="s">
        <v>23</v>
      </c>
      <c r="I97" s="5" t="s">
        <v>24</v>
      </c>
      <c r="J97" s="7"/>
      <c r="K97" s="7"/>
      <c r="L97" s="8" t="s">
        <v>241</v>
      </c>
      <c r="M97" s="9">
        <v>46000.0</v>
      </c>
      <c r="N97" s="5"/>
      <c r="O97" s="5"/>
      <c r="P97" s="4">
        <v>4.580490000415E12</v>
      </c>
      <c r="Q97" s="7"/>
      <c r="R97" s="10"/>
      <c r="S97" s="10"/>
    </row>
    <row r="98">
      <c r="A98" s="2" t="s">
        <v>166</v>
      </c>
      <c r="B98" s="3" t="s">
        <v>244</v>
      </c>
      <c r="C98" s="4" t="s">
        <v>245</v>
      </c>
      <c r="D98" s="5" t="s">
        <v>246</v>
      </c>
      <c r="E98" s="3">
        <v>2.0</v>
      </c>
      <c r="F98" s="3">
        <v>2337.0</v>
      </c>
      <c r="G98" s="6">
        <f t="shared" si="4"/>
        <v>4674</v>
      </c>
      <c r="H98" s="3" t="s">
        <v>23</v>
      </c>
      <c r="I98" s="5" t="s">
        <v>24</v>
      </c>
      <c r="J98" s="7"/>
      <c r="K98" s="7"/>
      <c r="L98" s="8" t="s">
        <v>241</v>
      </c>
      <c r="M98" s="9">
        <v>46000.0</v>
      </c>
      <c r="N98" s="5"/>
      <c r="O98" s="5"/>
      <c r="P98" s="4">
        <v>4.571631312382E12</v>
      </c>
      <c r="Q98" s="7"/>
      <c r="R98" s="10"/>
      <c r="S98" s="10"/>
    </row>
    <row r="99">
      <c r="A99" s="2" t="s">
        <v>166</v>
      </c>
      <c r="B99" s="3" t="s">
        <v>88</v>
      </c>
      <c r="C99" s="4" t="s">
        <v>247</v>
      </c>
      <c r="D99" s="5" t="s">
        <v>248</v>
      </c>
      <c r="E99" s="3">
        <v>3.0</v>
      </c>
      <c r="F99" s="3">
        <v>2091.0</v>
      </c>
      <c r="G99" s="6">
        <f t="shared" si="4"/>
        <v>6273</v>
      </c>
      <c r="H99" s="3" t="s">
        <v>23</v>
      </c>
      <c r="I99" s="5" t="s">
        <v>24</v>
      </c>
      <c r="J99" s="7"/>
      <c r="K99" s="7"/>
      <c r="L99" s="8" t="s">
        <v>241</v>
      </c>
      <c r="M99" s="9">
        <v>46000.0</v>
      </c>
      <c r="N99" s="5"/>
      <c r="O99" s="5"/>
      <c r="P99" s="4">
        <v>4.571360814065E12</v>
      </c>
      <c r="Q99" s="7"/>
      <c r="R99" s="10"/>
      <c r="S99" s="10"/>
    </row>
    <row r="100">
      <c r="A100" s="2" t="s">
        <v>166</v>
      </c>
      <c r="B100" s="3" t="s">
        <v>61</v>
      </c>
      <c r="C100" s="4" t="s">
        <v>70</v>
      </c>
      <c r="D100" s="5" t="s">
        <v>71</v>
      </c>
      <c r="E100" s="3">
        <v>2.0</v>
      </c>
      <c r="F100" s="3">
        <v>1720.0</v>
      </c>
      <c r="G100" s="6">
        <f t="shared" si="4"/>
        <v>3440</v>
      </c>
      <c r="H100" s="3" t="s">
        <v>23</v>
      </c>
      <c r="I100" s="5" t="s">
        <v>24</v>
      </c>
      <c r="J100" s="7"/>
      <c r="K100" s="7"/>
      <c r="L100" s="8" t="s">
        <v>241</v>
      </c>
      <c r="M100" s="9">
        <v>46000.0</v>
      </c>
      <c r="N100" s="5"/>
      <c r="O100" s="5"/>
      <c r="P100" s="4">
        <v>4.57136081427E12</v>
      </c>
      <c r="Q100" s="7"/>
      <c r="R100" s="10"/>
      <c r="S100" s="10"/>
    </row>
    <row r="101">
      <c r="A101" s="2" t="s">
        <v>166</v>
      </c>
      <c r="B101" s="3" t="s">
        <v>179</v>
      </c>
      <c r="C101" s="4">
        <v>1502.0</v>
      </c>
      <c r="D101" s="5" t="s">
        <v>249</v>
      </c>
      <c r="E101" s="3">
        <v>3.0</v>
      </c>
      <c r="F101" s="3">
        <v>432.0</v>
      </c>
      <c r="G101" s="6">
        <f t="shared" si="4"/>
        <v>1296</v>
      </c>
      <c r="H101" s="3" t="s">
        <v>94</v>
      </c>
      <c r="I101" s="5" t="s">
        <v>24</v>
      </c>
      <c r="J101" s="7"/>
      <c r="K101" s="7"/>
      <c r="L101" s="8" t="s">
        <v>241</v>
      </c>
      <c r="M101" s="9">
        <v>46000.0</v>
      </c>
      <c r="N101" s="5"/>
      <c r="O101" s="5"/>
      <c r="P101" s="4">
        <v>4.571324246543E12</v>
      </c>
      <c r="Q101" s="7"/>
      <c r="R101" s="10"/>
      <c r="S101" s="10"/>
    </row>
    <row r="102">
      <c r="A102" s="2" t="s">
        <v>250</v>
      </c>
      <c r="B102" s="3" t="s">
        <v>43</v>
      </c>
      <c r="C102" s="4" t="s">
        <v>251</v>
      </c>
      <c r="D102" s="5" t="s">
        <v>252</v>
      </c>
      <c r="E102" s="3">
        <v>20.0</v>
      </c>
      <c r="F102" s="3">
        <v>549.0</v>
      </c>
      <c r="G102" s="6">
        <v>10980.0</v>
      </c>
      <c r="H102" s="3" t="s">
        <v>23</v>
      </c>
      <c r="I102" s="5" t="s">
        <v>24</v>
      </c>
      <c r="J102" s="7"/>
      <c r="K102" s="7"/>
      <c r="L102" s="8" t="s">
        <v>253</v>
      </c>
      <c r="M102" s="9">
        <v>45947.0</v>
      </c>
      <c r="N102" s="5"/>
      <c r="O102" s="5"/>
      <c r="P102" s="4">
        <v>4.562160139458E12</v>
      </c>
      <c r="Q102" s="7"/>
      <c r="R102" s="10">
        <v>24.6</v>
      </c>
      <c r="S102" s="10" t="s">
        <v>133</v>
      </c>
    </row>
    <row r="103">
      <c r="A103" s="2" t="s">
        <v>250</v>
      </c>
      <c r="B103" s="3" t="s">
        <v>43</v>
      </c>
      <c r="C103" s="4" t="s">
        <v>78</v>
      </c>
      <c r="D103" s="5" t="s">
        <v>79</v>
      </c>
      <c r="E103" s="3">
        <v>20.0</v>
      </c>
      <c r="F103" s="3">
        <v>549.0</v>
      </c>
      <c r="G103" s="6">
        <v>10980.0</v>
      </c>
      <c r="H103" s="3" t="s">
        <v>23</v>
      </c>
      <c r="I103" s="5" t="s">
        <v>24</v>
      </c>
      <c r="J103" s="7"/>
      <c r="K103" s="7"/>
      <c r="L103" s="8" t="s">
        <v>253</v>
      </c>
      <c r="M103" s="9">
        <v>45974.0</v>
      </c>
      <c r="N103" s="5"/>
      <c r="O103" s="5"/>
      <c r="P103" s="4">
        <v>4.562160139199E12</v>
      </c>
      <c r="Q103" s="7"/>
      <c r="R103" s="10"/>
      <c r="S103" s="10"/>
    </row>
    <row r="104">
      <c r="A104" s="2" t="s">
        <v>250</v>
      </c>
      <c r="B104" s="3" t="s">
        <v>43</v>
      </c>
      <c r="C104" s="4" t="s">
        <v>254</v>
      </c>
      <c r="D104" s="5" t="s">
        <v>255</v>
      </c>
      <c r="E104" s="3">
        <v>10.0</v>
      </c>
      <c r="F104" s="3">
        <v>549.0</v>
      </c>
      <c r="G104" s="6">
        <v>5490.0</v>
      </c>
      <c r="H104" s="3" t="s">
        <v>23</v>
      </c>
      <c r="I104" s="5" t="s">
        <v>24</v>
      </c>
      <c r="J104" s="7"/>
      <c r="K104" s="7"/>
      <c r="L104" s="8" t="s">
        <v>253</v>
      </c>
      <c r="M104" s="9">
        <v>45975.0</v>
      </c>
      <c r="N104" s="5"/>
      <c r="O104" s="5"/>
      <c r="P104" s="4">
        <v>4.562160139441E12</v>
      </c>
      <c r="Q104" s="7"/>
      <c r="R104" s="10"/>
      <c r="S104" s="10"/>
    </row>
    <row r="105">
      <c r="A105" s="2" t="s">
        <v>250</v>
      </c>
      <c r="B105" s="3" t="s">
        <v>40</v>
      </c>
      <c r="C105" s="4" t="s">
        <v>41</v>
      </c>
      <c r="D105" s="5" t="s">
        <v>42</v>
      </c>
      <c r="E105" s="3">
        <v>10.0</v>
      </c>
      <c r="F105" s="3">
        <v>1400.0</v>
      </c>
      <c r="G105" s="6">
        <f t="shared" ref="G105:G116" si="5">F105*E105</f>
        <v>14000</v>
      </c>
      <c r="H105" s="3" t="s">
        <v>23</v>
      </c>
      <c r="I105" s="5" t="s">
        <v>24</v>
      </c>
      <c r="J105" s="7"/>
      <c r="K105" s="7"/>
      <c r="L105" s="8" t="s">
        <v>253</v>
      </c>
      <c r="M105" s="9">
        <v>45950.0</v>
      </c>
      <c r="N105" s="5"/>
      <c r="O105" s="5"/>
      <c r="P105" s="4">
        <v>4.580490000408E12</v>
      </c>
      <c r="Q105" s="7"/>
      <c r="R105" s="10"/>
      <c r="S105" s="10"/>
    </row>
    <row r="106">
      <c r="A106" s="2" t="s">
        <v>250</v>
      </c>
      <c r="B106" s="3" t="s">
        <v>40</v>
      </c>
      <c r="C106" s="4" t="s">
        <v>239</v>
      </c>
      <c r="D106" s="5" t="s">
        <v>240</v>
      </c>
      <c r="E106" s="3">
        <v>86.0</v>
      </c>
      <c r="F106" s="3">
        <v>1270.0</v>
      </c>
      <c r="G106" s="6">
        <f t="shared" si="5"/>
        <v>109220</v>
      </c>
      <c r="H106" s="3" t="s">
        <v>23</v>
      </c>
      <c r="I106" s="5" t="s">
        <v>24</v>
      </c>
      <c r="J106" s="7"/>
      <c r="K106" s="7"/>
      <c r="L106" s="8" t="s">
        <v>256</v>
      </c>
      <c r="M106" s="9">
        <v>45975.0</v>
      </c>
      <c r="N106" s="5"/>
      <c r="O106" s="5"/>
      <c r="P106" s="4">
        <v>4.580490000354E12</v>
      </c>
      <c r="Q106" s="7"/>
      <c r="R106" s="10">
        <v>23.3</v>
      </c>
      <c r="S106" s="10" t="s">
        <v>257</v>
      </c>
    </row>
    <row r="107">
      <c r="A107" s="2" t="s">
        <v>250</v>
      </c>
      <c r="B107" s="3" t="s">
        <v>179</v>
      </c>
      <c r="C107" s="4">
        <v>1242.0</v>
      </c>
      <c r="D107" s="5" t="s">
        <v>258</v>
      </c>
      <c r="E107" s="3">
        <v>10.0</v>
      </c>
      <c r="F107" s="3">
        <v>2160.0</v>
      </c>
      <c r="G107" s="6">
        <f t="shared" si="5"/>
        <v>21600</v>
      </c>
      <c r="H107" s="3" t="s">
        <v>23</v>
      </c>
      <c r="I107" s="5" t="s">
        <v>24</v>
      </c>
      <c r="J107" s="7"/>
      <c r="K107" s="7"/>
      <c r="L107" s="8" t="s">
        <v>259</v>
      </c>
      <c r="M107" s="9">
        <v>46000.0</v>
      </c>
      <c r="N107" s="5"/>
      <c r="O107" s="5"/>
      <c r="P107" s="4">
        <v>4.571324242361E12</v>
      </c>
      <c r="Q107" s="7"/>
      <c r="R107" s="10">
        <v>11.9</v>
      </c>
      <c r="S107" s="10" t="s">
        <v>120</v>
      </c>
    </row>
    <row r="108">
      <c r="A108" s="2" t="s">
        <v>250</v>
      </c>
      <c r="B108" s="3" t="s">
        <v>260</v>
      </c>
      <c r="C108" s="4" t="s">
        <v>261</v>
      </c>
      <c r="D108" s="5" t="s">
        <v>262</v>
      </c>
      <c r="E108" s="3">
        <v>4.0</v>
      </c>
      <c r="F108" s="3">
        <v>1654.0</v>
      </c>
      <c r="G108" s="6">
        <f t="shared" si="5"/>
        <v>6616</v>
      </c>
      <c r="H108" s="3" t="s">
        <v>23</v>
      </c>
      <c r="I108" s="5" t="s">
        <v>24</v>
      </c>
      <c r="J108" s="7"/>
      <c r="K108" s="7"/>
      <c r="L108" s="8" t="s">
        <v>259</v>
      </c>
      <c r="M108" s="9">
        <v>46000.0</v>
      </c>
      <c r="N108" s="5"/>
      <c r="O108" s="5"/>
      <c r="P108" s="4">
        <v>4.580214776237E12</v>
      </c>
      <c r="Q108" s="7"/>
      <c r="R108" s="10"/>
      <c r="S108" s="10"/>
    </row>
    <row r="109">
      <c r="A109" s="2" t="s">
        <v>250</v>
      </c>
      <c r="B109" s="3" t="s">
        <v>40</v>
      </c>
      <c r="C109" s="4" t="s">
        <v>239</v>
      </c>
      <c r="D109" s="5" t="s">
        <v>240</v>
      </c>
      <c r="E109" s="3">
        <v>14.0</v>
      </c>
      <c r="F109" s="3">
        <v>1270.0</v>
      </c>
      <c r="G109" s="6">
        <f t="shared" si="5"/>
        <v>17780</v>
      </c>
      <c r="H109" s="3" t="s">
        <v>23</v>
      </c>
      <c r="I109" s="5" t="s">
        <v>24</v>
      </c>
      <c r="J109" s="7"/>
      <c r="K109" s="7"/>
      <c r="L109" s="8" t="s">
        <v>263</v>
      </c>
      <c r="M109" s="9">
        <v>45975.0</v>
      </c>
      <c r="N109" s="5"/>
      <c r="O109" s="5"/>
      <c r="P109" s="4">
        <v>4.580490000354E12</v>
      </c>
      <c r="Q109" s="7"/>
      <c r="R109" s="10">
        <v>11.2</v>
      </c>
      <c r="S109" s="10" t="s">
        <v>60</v>
      </c>
    </row>
    <row r="110">
      <c r="A110" s="2" t="s">
        <v>250</v>
      </c>
      <c r="B110" s="3" t="s">
        <v>260</v>
      </c>
      <c r="C110" s="4" t="s">
        <v>261</v>
      </c>
      <c r="D110" s="5" t="s">
        <v>262</v>
      </c>
      <c r="E110" s="3">
        <v>6.0</v>
      </c>
      <c r="F110" s="3">
        <v>1654.0</v>
      </c>
      <c r="G110" s="6">
        <f t="shared" si="5"/>
        <v>9924</v>
      </c>
      <c r="H110" s="3" t="s">
        <v>23</v>
      </c>
      <c r="I110" s="5" t="s">
        <v>24</v>
      </c>
      <c r="J110" s="7"/>
      <c r="K110" s="7"/>
      <c r="L110" s="8" t="s">
        <v>263</v>
      </c>
      <c r="M110" s="9">
        <v>46000.0</v>
      </c>
      <c r="N110" s="5"/>
      <c r="O110" s="5"/>
      <c r="P110" s="4">
        <v>4.580214776237E12</v>
      </c>
      <c r="Q110" s="7"/>
      <c r="R110" s="10"/>
      <c r="S110" s="10"/>
    </row>
    <row r="111">
      <c r="A111" s="2" t="s">
        <v>250</v>
      </c>
      <c r="B111" s="3" t="s">
        <v>264</v>
      </c>
      <c r="C111" s="4" t="s">
        <v>265</v>
      </c>
      <c r="D111" s="5" t="s">
        <v>266</v>
      </c>
      <c r="E111" s="3">
        <v>10.0</v>
      </c>
      <c r="F111" s="3">
        <v>420.0</v>
      </c>
      <c r="G111" s="6">
        <f t="shared" si="5"/>
        <v>4200</v>
      </c>
      <c r="H111" s="3" t="s">
        <v>94</v>
      </c>
      <c r="I111" s="5" t="s">
        <v>24</v>
      </c>
      <c r="J111" s="7"/>
      <c r="K111" s="7"/>
      <c r="L111" s="8" t="s">
        <v>267</v>
      </c>
      <c r="M111" s="9">
        <v>46000.0</v>
      </c>
      <c r="N111" s="5"/>
      <c r="O111" s="5" t="s">
        <v>268</v>
      </c>
      <c r="P111" s="4">
        <v>4.582593587947E12</v>
      </c>
      <c r="Q111" s="7"/>
      <c r="R111" s="10">
        <v>13.1</v>
      </c>
      <c r="S111" s="10" t="s">
        <v>269</v>
      </c>
    </row>
    <row r="112">
      <c r="A112" s="2" t="s">
        <v>250</v>
      </c>
      <c r="B112" s="3" t="s">
        <v>264</v>
      </c>
      <c r="C112" s="4" t="s">
        <v>270</v>
      </c>
      <c r="D112" s="5" t="s">
        <v>271</v>
      </c>
      <c r="E112" s="3">
        <v>50.0</v>
      </c>
      <c r="F112" s="3">
        <v>320.0</v>
      </c>
      <c r="G112" s="6">
        <f t="shared" si="5"/>
        <v>16000</v>
      </c>
      <c r="H112" s="3" t="s">
        <v>94</v>
      </c>
      <c r="I112" s="5" t="s">
        <v>24</v>
      </c>
      <c r="J112" s="7"/>
      <c r="K112" s="7"/>
      <c r="L112" s="8" t="s">
        <v>267</v>
      </c>
      <c r="M112" s="9">
        <v>46000.0</v>
      </c>
      <c r="N112" s="5"/>
      <c r="O112" s="5" t="s">
        <v>272</v>
      </c>
      <c r="P112" s="4">
        <v>4.580279019591E12</v>
      </c>
      <c r="Q112" s="7"/>
      <c r="R112" s="10"/>
      <c r="S112" s="10"/>
    </row>
    <row r="113">
      <c r="A113" s="2" t="s">
        <v>273</v>
      </c>
      <c r="B113" s="3" t="s">
        <v>43</v>
      </c>
      <c r="C113" s="4" t="s">
        <v>137</v>
      </c>
      <c r="D113" s="5" t="s">
        <v>138</v>
      </c>
      <c r="E113" s="3">
        <v>2.0</v>
      </c>
      <c r="F113" s="3">
        <v>3308.0</v>
      </c>
      <c r="G113" s="6">
        <f t="shared" si="5"/>
        <v>6616</v>
      </c>
      <c r="H113" s="3" t="s">
        <v>23</v>
      </c>
      <c r="I113" s="5" t="s">
        <v>24</v>
      </c>
      <c r="J113" s="7"/>
      <c r="K113" s="7"/>
      <c r="L113" s="8" t="s">
        <v>274</v>
      </c>
      <c r="M113" s="9">
        <v>45986.0</v>
      </c>
      <c r="N113" s="5"/>
      <c r="O113" s="5"/>
      <c r="P113" s="4">
        <v>4.562160137348E12</v>
      </c>
      <c r="Q113" s="7"/>
      <c r="R113" s="10">
        <v>13.9</v>
      </c>
      <c r="S113" s="10" t="s">
        <v>275</v>
      </c>
    </row>
    <row r="114">
      <c r="A114" s="2" t="s">
        <v>273</v>
      </c>
      <c r="B114" s="3" t="s">
        <v>43</v>
      </c>
      <c r="C114" s="4" t="s">
        <v>52</v>
      </c>
      <c r="D114" s="5" t="s">
        <v>53</v>
      </c>
      <c r="E114" s="3">
        <v>3.0</v>
      </c>
      <c r="F114" s="3">
        <v>3308.0</v>
      </c>
      <c r="G114" s="6">
        <f t="shared" si="5"/>
        <v>9924</v>
      </c>
      <c r="H114" s="3" t="s">
        <v>23</v>
      </c>
      <c r="I114" s="5" t="s">
        <v>24</v>
      </c>
      <c r="J114" s="7"/>
      <c r="K114" s="7"/>
      <c r="L114" s="8" t="s">
        <v>274</v>
      </c>
      <c r="M114" s="9">
        <v>45986.0</v>
      </c>
      <c r="N114" s="5"/>
      <c r="O114" s="5"/>
      <c r="P114" s="4">
        <v>4.562160134101E12</v>
      </c>
      <c r="Q114" s="7"/>
      <c r="R114" s="10"/>
      <c r="S114" s="10"/>
    </row>
    <row r="115">
      <c r="A115" s="2" t="s">
        <v>273</v>
      </c>
      <c r="B115" s="3" t="s">
        <v>43</v>
      </c>
      <c r="C115" s="4" t="s">
        <v>44</v>
      </c>
      <c r="D115" s="5" t="s">
        <v>45</v>
      </c>
      <c r="E115" s="3">
        <v>4.0</v>
      </c>
      <c r="F115" s="3">
        <v>3308.0</v>
      </c>
      <c r="G115" s="6">
        <f t="shared" si="5"/>
        <v>13232</v>
      </c>
      <c r="H115" s="3" t="s">
        <v>23</v>
      </c>
      <c r="I115" s="5" t="s">
        <v>24</v>
      </c>
      <c r="J115" s="7"/>
      <c r="K115" s="7"/>
      <c r="L115" s="8" t="s">
        <v>274</v>
      </c>
      <c r="M115" s="9">
        <v>45986.0</v>
      </c>
      <c r="N115" s="5"/>
      <c r="O115" s="5"/>
      <c r="P115" s="4">
        <v>4.562160134415E12</v>
      </c>
      <c r="Q115" s="7"/>
      <c r="R115" s="10"/>
      <c r="S115" s="10"/>
    </row>
    <row r="116">
      <c r="A116" s="2" t="s">
        <v>273</v>
      </c>
      <c r="B116" s="3" t="s">
        <v>43</v>
      </c>
      <c r="C116" s="4" t="s">
        <v>169</v>
      </c>
      <c r="D116" s="5" t="s">
        <v>170</v>
      </c>
      <c r="E116" s="3">
        <v>2.0</v>
      </c>
      <c r="F116" s="3">
        <v>3308.0</v>
      </c>
      <c r="G116" s="6">
        <f t="shared" si="5"/>
        <v>6616</v>
      </c>
      <c r="H116" s="3" t="s">
        <v>23</v>
      </c>
      <c r="I116" s="5" t="s">
        <v>24</v>
      </c>
      <c r="J116" s="7"/>
      <c r="K116" s="7"/>
      <c r="L116" s="8" t="s">
        <v>274</v>
      </c>
      <c r="M116" s="9">
        <v>45986.0</v>
      </c>
      <c r="N116" s="5"/>
      <c r="O116" s="5"/>
      <c r="P116" s="4">
        <v>4.562160135139E12</v>
      </c>
      <c r="Q116" s="7"/>
      <c r="R116" s="10"/>
      <c r="S116" s="10"/>
    </row>
    <row r="117">
      <c r="A117" s="2"/>
      <c r="B117" s="3"/>
      <c r="C117" s="4"/>
      <c r="D117" s="5"/>
      <c r="E117" s="3"/>
      <c r="F117" s="3"/>
      <c r="G117" s="6"/>
      <c r="H117" s="3"/>
      <c r="I117" s="5"/>
      <c r="J117" s="7"/>
      <c r="K117" s="7"/>
      <c r="L117" s="8"/>
      <c r="M117" s="9"/>
      <c r="N117" s="5"/>
      <c r="O117" s="5"/>
      <c r="P117" s="4"/>
      <c r="Q117" s="7"/>
      <c r="R117" s="10"/>
      <c r="S117" s="10"/>
    </row>
    <row r="118">
      <c r="A118" s="2"/>
      <c r="B118" s="3"/>
      <c r="C118" s="4"/>
      <c r="D118" s="5"/>
      <c r="E118" s="3"/>
      <c r="F118" s="3"/>
      <c r="G118" s="6"/>
      <c r="H118" s="3"/>
      <c r="I118" s="5"/>
      <c r="J118" s="7"/>
      <c r="K118" s="7"/>
      <c r="L118" s="8"/>
      <c r="M118" s="9"/>
      <c r="N118" s="5"/>
      <c r="O118" s="5"/>
      <c r="P118" s="4"/>
      <c r="Q118" s="7"/>
      <c r="R118" s="10"/>
      <c r="S118" s="10"/>
    </row>
    <row r="119">
      <c r="A119" s="2"/>
      <c r="B119" s="3"/>
      <c r="C119" s="4"/>
      <c r="D119" s="5"/>
      <c r="E119" s="3"/>
      <c r="F119" s="3"/>
      <c r="G119" s="6"/>
      <c r="H119" s="3"/>
      <c r="I119" s="5"/>
      <c r="J119" s="7"/>
      <c r="K119" s="7"/>
      <c r="L119" s="8"/>
      <c r="M119" s="9"/>
      <c r="N119" s="5"/>
      <c r="O119" s="5"/>
      <c r="P119" s="4"/>
      <c r="Q119" s="7"/>
      <c r="R119" s="10"/>
      <c r="S119" s="10"/>
    </row>
    <row r="120">
      <c r="A120" s="2"/>
      <c r="B120" s="3"/>
      <c r="C120" s="4"/>
      <c r="D120" s="5"/>
      <c r="E120" s="3"/>
      <c r="F120" s="3"/>
      <c r="G120" s="6"/>
      <c r="H120" s="3"/>
      <c r="I120" s="5"/>
      <c r="J120" s="7"/>
      <c r="K120" s="7"/>
      <c r="L120" s="8"/>
      <c r="M120" s="9"/>
      <c r="N120" s="5"/>
      <c r="O120" s="5"/>
      <c r="P120" s="4"/>
      <c r="Q120" s="7"/>
      <c r="R120" s="10"/>
      <c r="S120" s="10"/>
    </row>
    <row r="121">
      <c r="A121" s="2"/>
      <c r="B121" s="3"/>
      <c r="C121" s="4"/>
      <c r="D121" s="5"/>
      <c r="E121" s="3"/>
      <c r="F121" s="3"/>
      <c r="G121" s="6"/>
      <c r="H121" s="3"/>
      <c r="I121" s="5"/>
      <c r="J121" s="7"/>
      <c r="K121" s="7"/>
      <c r="L121" s="8"/>
      <c r="M121" s="9"/>
      <c r="N121" s="5"/>
      <c r="O121" s="5"/>
      <c r="P121" s="4"/>
      <c r="Q121" s="7"/>
      <c r="R121" s="10"/>
      <c r="S121" s="10"/>
    </row>
    <row r="122">
      <c r="A122" s="2"/>
      <c r="B122" s="3"/>
      <c r="C122" s="4"/>
      <c r="D122" s="5"/>
      <c r="E122" s="3"/>
      <c r="F122" s="3"/>
      <c r="G122" s="6"/>
      <c r="H122" s="3"/>
      <c r="I122" s="5"/>
      <c r="J122" s="7"/>
      <c r="K122" s="7"/>
      <c r="L122" s="8"/>
      <c r="M122" s="9"/>
      <c r="N122" s="5"/>
      <c r="O122" s="5"/>
      <c r="P122" s="4"/>
      <c r="Q122" s="7"/>
      <c r="R122" s="10"/>
      <c r="S122" s="10"/>
    </row>
    <row r="123">
      <c r="A123" s="2"/>
      <c r="B123" s="3"/>
      <c r="C123" s="4"/>
      <c r="D123" s="5"/>
      <c r="E123" s="3"/>
      <c r="F123" s="3"/>
      <c r="G123" s="6"/>
      <c r="H123" s="3"/>
      <c r="I123" s="5"/>
      <c r="J123" s="7"/>
      <c r="K123" s="7"/>
      <c r="L123" s="8"/>
      <c r="M123" s="9"/>
      <c r="N123" s="5"/>
      <c r="O123" s="5"/>
      <c r="P123" s="4"/>
      <c r="Q123" s="7"/>
      <c r="R123" s="10"/>
      <c r="S123" s="10"/>
    </row>
    <row r="124">
      <c r="A124" s="2"/>
      <c r="B124" s="3"/>
      <c r="C124" s="4"/>
      <c r="D124" s="5"/>
      <c r="E124" s="3"/>
      <c r="F124" s="3"/>
      <c r="G124" s="6"/>
      <c r="H124" s="3"/>
      <c r="I124" s="5"/>
      <c r="J124" s="7"/>
      <c r="K124" s="7"/>
      <c r="L124" s="8"/>
      <c r="M124" s="9"/>
      <c r="N124" s="5"/>
      <c r="O124" s="5"/>
      <c r="P124" s="4"/>
      <c r="Q124" s="7"/>
      <c r="R124" s="10"/>
      <c r="S124" s="10"/>
    </row>
    <row r="125">
      <c r="A125" s="2"/>
      <c r="B125" s="3"/>
      <c r="C125" s="4"/>
      <c r="D125" s="5"/>
      <c r="E125" s="3"/>
      <c r="F125" s="3"/>
      <c r="G125" s="6"/>
      <c r="H125" s="3"/>
      <c r="I125" s="5"/>
      <c r="J125" s="7"/>
      <c r="K125" s="7"/>
      <c r="L125" s="8"/>
      <c r="M125" s="9"/>
      <c r="N125" s="5"/>
      <c r="O125" s="5"/>
      <c r="P125" s="4"/>
      <c r="Q125" s="7"/>
      <c r="R125" s="10"/>
      <c r="S125" s="10"/>
    </row>
    <row r="126">
      <c r="A126" s="2"/>
      <c r="B126" s="3"/>
      <c r="C126" s="4"/>
      <c r="D126" s="5"/>
      <c r="E126" s="3"/>
      <c r="F126" s="3"/>
      <c r="G126" s="6"/>
      <c r="H126" s="3"/>
      <c r="I126" s="5"/>
      <c r="J126" s="7"/>
      <c r="K126" s="7"/>
      <c r="L126" s="8"/>
      <c r="M126" s="9"/>
      <c r="N126" s="5"/>
      <c r="O126" s="5"/>
      <c r="P126" s="4"/>
      <c r="Q126" s="7"/>
      <c r="R126" s="10"/>
      <c r="S126" s="10"/>
    </row>
    <row r="127">
      <c r="A127" s="2"/>
      <c r="B127" s="3"/>
      <c r="C127" s="4"/>
      <c r="D127" s="5"/>
      <c r="E127" s="3"/>
      <c r="F127" s="3"/>
      <c r="G127" s="6"/>
      <c r="H127" s="3"/>
      <c r="I127" s="5"/>
      <c r="J127" s="7"/>
      <c r="K127" s="7"/>
      <c r="L127" s="8"/>
      <c r="M127" s="9"/>
      <c r="N127" s="5"/>
      <c r="O127" s="5"/>
      <c r="P127" s="4"/>
      <c r="Q127" s="7"/>
      <c r="R127" s="10"/>
      <c r="S127" s="10"/>
    </row>
    <row r="128">
      <c r="A128" s="2"/>
      <c r="B128" s="3"/>
      <c r="C128" s="4"/>
      <c r="D128" s="5"/>
      <c r="E128" s="3"/>
      <c r="F128" s="3"/>
      <c r="G128" s="6"/>
      <c r="H128" s="3"/>
      <c r="I128" s="5"/>
      <c r="J128" s="7"/>
      <c r="K128" s="7"/>
      <c r="L128" s="8"/>
      <c r="M128" s="9"/>
      <c r="N128" s="5"/>
      <c r="O128" s="5"/>
      <c r="P128" s="4"/>
      <c r="Q128" s="7"/>
      <c r="R128" s="10"/>
      <c r="S128" s="10"/>
    </row>
    <row r="129">
      <c r="A129" s="2"/>
      <c r="B129" s="3"/>
      <c r="C129" s="4"/>
      <c r="D129" s="5"/>
      <c r="E129" s="3"/>
      <c r="F129" s="3"/>
      <c r="G129" s="6"/>
      <c r="H129" s="3"/>
      <c r="I129" s="5"/>
      <c r="J129" s="7"/>
      <c r="K129" s="7"/>
      <c r="L129" s="8"/>
      <c r="M129" s="9"/>
      <c r="N129" s="5"/>
      <c r="O129" s="5"/>
      <c r="P129" s="4"/>
      <c r="Q129" s="7"/>
      <c r="R129" s="10"/>
      <c r="S129" s="10"/>
    </row>
    <row r="130">
      <c r="A130" s="2"/>
      <c r="B130" s="3"/>
      <c r="C130" s="4"/>
      <c r="D130" s="5"/>
      <c r="E130" s="3"/>
      <c r="F130" s="3"/>
      <c r="G130" s="6"/>
      <c r="H130" s="3"/>
      <c r="I130" s="5"/>
      <c r="J130" s="7"/>
      <c r="K130" s="7"/>
      <c r="L130" s="8"/>
      <c r="M130" s="9"/>
      <c r="N130" s="5"/>
      <c r="O130" s="5"/>
      <c r="P130" s="4"/>
      <c r="Q130" s="7"/>
      <c r="R130" s="10"/>
      <c r="S130" s="10"/>
    </row>
    <row r="131">
      <c r="A131" s="2"/>
      <c r="B131" s="3"/>
      <c r="C131" s="4"/>
      <c r="D131" s="5"/>
      <c r="E131" s="3"/>
      <c r="F131" s="3"/>
      <c r="G131" s="6"/>
      <c r="H131" s="3"/>
      <c r="I131" s="5"/>
      <c r="J131" s="7"/>
      <c r="K131" s="7"/>
      <c r="L131" s="8"/>
      <c r="M131" s="9"/>
      <c r="N131" s="5"/>
      <c r="O131" s="5"/>
      <c r="P131" s="4"/>
      <c r="Q131" s="7"/>
      <c r="R131" s="10"/>
      <c r="S131" s="10"/>
    </row>
    <row r="132">
      <c r="A132" s="2"/>
      <c r="B132" s="3"/>
      <c r="C132" s="4"/>
      <c r="D132" s="5"/>
      <c r="E132" s="3"/>
      <c r="F132" s="3"/>
      <c r="G132" s="6"/>
      <c r="H132" s="3"/>
      <c r="I132" s="5"/>
      <c r="J132" s="7"/>
      <c r="K132" s="7"/>
      <c r="L132" s="8"/>
      <c r="M132" s="9"/>
      <c r="N132" s="5"/>
      <c r="O132" s="5"/>
      <c r="P132" s="4"/>
      <c r="Q132" s="7"/>
      <c r="R132" s="10"/>
      <c r="S132" s="10"/>
    </row>
    <row r="133">
      <c r="A133" s="2"/>
      <c r="B133" s="3"/>
      <c r="C133" s="4"/>
      <c r="D133" s="5"/>
      <c r="E133" s="3"/>
      <c r="F133" s="3"/>
      <c r="G133" s="6"/>
      <c r="H133" s="3"/>
      <c r="I133" s="5"/>
      <c r="J133" s="7"/>
      <c r="K133" s="7"/>
      <c r="L133" s="8"/>
      <c r="M133" s="9"/>
      <c r="N133" s="5"/>
      <c r="O133" s="5"/>
      <c r="P133" s="4"/>
      <c r="Q133" s="7"/>
      <c r="R133" s="10"/>
      <c r="S133" s="10"/>
    </row>
    <row r="134">
      <c r="A134" s="2"/>
      <c r="B134" s="3"/>
      <c r="C134" s="4"/>
      <c r="D134" s="5"/>
      <c r="E134" s="3"/>
      <c r="F134" s="3"/>
      <c r="G134" s="6"/>
      <c r="H134" s="3"/>
      <c r="I134" s="5"/>
      <c r="J134" s="7"/>
      <c r="K134" s="7"/>
      <c r="L134" s="8"/>
      <c r="M134" s="9"/>
      <c r="N134" s="5"/>
      <c r="O134" s="5"/>
      <c r="P134" s="4"/>
      <c r="Q134" s="7"/>
      <c r="R134" s="10"/>
      <c r="S134" s="10"/>
    </row>
    <row r="135">
      <c r="A135" s="2"/>
      <c r="B135" s="3"/>
      <c r="C135" s="4"/>
      <c r="D135" s="5"/>
      <c r="E135" s="3"/>
      <c r="F135" s="3"/>
      <c r="G135" s="6"/>
      <c r="H135" s="3"/>
      <c r="I135" s="5"/>
      <c r="J135" s="7"/>
      <c r="K135" s="7"/>
      <c r="L135" s="8"/>
      <c r="M135" s="9"/>
      <c r="N135" s="5"/>
      <c r="O135" s="5"/>
      <c r="P135" s="4"/>
      <c r="Q135" s="7"/>
      <c r="R135" s="10"/>
      <c r="S135" s="10"/>
    </row>
    <row r="136">
      <c r="A136" s="2"/>
      <c r="B136" s="3"/>
      <c r="C136" s="4"/>
      <c r="D136" s="5"/>
      <c r="E136" s="3"/>
      <c r="F136" s="3"/>
      <c r="G136" s="6"/>
      <c r="H136" s="3"/>
      <c r="I136" s="5"/>
      <c r="J136" s="7"/>
      <c r="K136" s="7"/>
      <c r="L136" s="8"/>
      <c r="M136" s="9"/>
      <c r="N136" s="5"/>
      <c r="O136" s="5"/>
      <c r="P136" s="4"/>
      <c r="Q136" s="7"/>
      <c r="R136" s="10"/>
      <c r="S136" s="10"/>
    </row>
    <row r="137">
      <c r="A137" s="2"/>
      <c r="B137" s="3"/>
      <c r="C137" s="4"/>
      <c r="D137" s="5"/>
      <c r="E137" s="3"/>
      <c r="F137" s="3"/>
      <c r="G137" s="6"/>
      <c r="H137" s="3"/>
      <c r="I137" s="5"/>
      <c r="J137" s="7"/>
      <c r="K137" s="7"/>
      <c r="L137" s="8"/>
      <c r="M137" s="9"/>
      <c r="N137" s="5"/>
      <c r="O137" s="5"/>
      <c r="P137" s="4"/>
      <c r="Q137" s="7"/>
      <c r="R137" s="10"/>
      <c r="S137" s="10"/>
    </row>
    <row r="138">
      <c r="A138" s="2"/>
      <c r="B138" s="3"/>
      <c r="C138" s="4"/>
      <c r="D138" s="5"/>
      <c r="E138" s="3"/>
      <c r="F138" s="3"/>
      <c r="G138" s="6"/>
      <c r="H138" s="3"/>
      <c r="I138" s="5"/>
      <c r="J138" s="7"/>
      <c r="K138" s="7"/>
      <c r="L138" s="8"/>
      <c r="M138" s="9"/>
      <c r="N138" s="5"/>
      <c r="O138" s="5"/>
      <c r="P138" s="4"/>
      <c r="Q138" s="7"/>
      <c r="R138" s="10"/>
      <c r="S138" s="10"/>
    </row>
    <row r="139">
      <c r="A139" s="2"/>
      <c r="B139" s="3"/>
      <c r="C139" s="4"/>
      <c r="D139" s="5"/>
      <c r="E139" s="3"/>
      <c r="F139" s="3"/>
      <c r="G139" s="6"/>
      <c r="H139" s="3"/>
      <c r="I139" s="5"/>
      <c r="J139" s="7"/>
      <c r="K139" s="7"/>
      <c r="L139" s="8"/>
      <c r="M139" s="9"/>
      <c r="N139" s="5"/>
      <c r="O139" s="5"/>
      <c r="P139" s="4"/>
      <c r="Q139" s="7"/>
      <c r="R139" s="10"/>
      <c r="S139" s="10"/>
    </row>
    <row r="140">
      <c r="A140" s="2"/>
      <c r="B140" s="3"/>
      <c r="C140" s="4"/>
      <c r="D140" s="5"/>
      <c r="E140" s="3"/>
      <c r="F140" s="3"/>
      <c r="G140" s="6"/>
      <c r="H140" s="3"/>
      <c r="I140" s="5"/>
      <c r="J140" s="7"/>
      <c r="K140" s="7"/>
      <c r="L140" s="8"/>
      <c r="M140" s="9"/>
      <c r="N140" s="5"/>
      <c r="O140" s="5"/>
      <c r="P140" s="4"/>
      <c r="Q140" s="7"/>
      <c r="R140" s="10"/>
      <c r="S140" s="10"/>
    </row>
    <row r="141">
      <c r="A141" s="2"/>
      <c r="B141" s="3"/>
      <c r="C141" s="4"/>
      <c r="D141" s="5"/>
      <c r="E141" s="3"/>
      <c r="F141" s="3"/>
      <c r="G141" s="6"/>
      <c r="H141" s="3"/>
      <c r="I141" s="5"/>
      <c r="J141" s="7"/>
      <c r="K141" s="7"/>
      <c r="L141" s="8"/>
      <c r="M141" s="9"/>
      <c r="N141" s="5"/>
      <c r="O141" s="5"/>
      <c r="P141" s="4"/>
      <c r="Q141" s="7"/>
      <c r="R141" s="10"/>
      <c r="S141" s="10"/>
    </row>
    <row r="142">
      <c r="A142" s="2"/>
      <c r="B142" s="3"/>
      <c r="C142" s="4"/>
      <c r="D142" s="5"/>
      <c r="E142" s="3"/>
      <c r="F142" s="3"/>
      <c r="G142" s="6"/>
      <c r="H142" s="3"/>
      <c r="I142" s="5"/>
      <c r="J142" s="7"/>
      <c r="K142" s="7"/>
      <c r="L142" s="8"/>
      <c r="M142" s="9"/>
      <c r="N142" s="5"/>
      <c r="O142" s="5"/>
      <c r="P142" s="4"/>
      <c r="Q142" s="7"/>
      <c r="R142" s="10"/>
      <c r="S142" s="10"/>
    </row>
    <row r="143">
      <c r="A143" s="2"/>
      <c r="B143" s="3"/>
      <c r="C143" s="4"/>
      <c r="D143" s="5"/>
      <c r="E143" s="3"/>
      <c r="F143" s="3"/>
      <c r="G143" s="6"/>
      <c r="H143" s="3"/>
      <c r="I143" s="5"/>
      <c r="J143" s="7"/>
      <c r="K143" s="7"/>
      <c r="L143" s="8"/>
      <c r="M143" s="9"/>
      <c r="N143" s="5"/>
      <c r="O143" s="5"/>
      <c r="P143" s="4"/>
      <c r="Q143" s="7"/>
      <c r="R143" s="10"/>
      <c r="S143" s="10"/>
    </row>
    <row r="144">
      <c r="A144" s="2"/>
      <c r="B144" s="3"/>
      <c r="C144" s="4"/>
      <c r="D144" s="5"/>
      <c r="E144" s="3"/>
      <c r="F144" s="3"/>
      <c r="G144" s="6"/>
      <c r="H144" s="3"/>
      <c r="I144" s="5"/>
      <c r="J144" s="7"/>
      <c r="K144" s="7"/>
      <c r="L144" s="8"/>
      <c r="M144" s="9"/>
      <c r="N144" s="5"/>
      <c r="O144" s="5"/>
      <c r="P144" s="4"/>
      <c r="Q144" s="7"/>
      <c r="R144" s="10"/>
      <c r="S144" s="10"/>
    </row>
    <row r="145">
      <c r="A145" s="2"/>
      <c r="B145" s="3"/>
      <c r="C145" s="4"/>
      <c r="D145" s="5"/>
      <c r="E145" s="3"/>
      <c r="F145" s="3"/>
      <c r="G145" s="6"/>
      <c r="H145" s="3"/>
      <c r="I145" s="5"/>
      <c r="J145" s="7"/>
      <c r="K145" s="7"/>
      <c r="L145" s="8"/>
      <c r="M145" s="9"/>
      <c r="N145" s="5"/>
      <c r="O145" s="5"/>
      <c r="P145" s="4"/>
      <c r="Q145" s="7"/>
      <c r="R145" s="10"/>
      <c r="S145" s="10"/>
    </row>
    <row r="146">
      <c r="A146" s="2"/>
      <c r="B146" s="3"/>
      <c r="C146" s="4"/>
      <c r="D146" s="5"/>
      <c r="E146" s="3"/>
      <c r="F146" s="3"/>
      <c r="G146" s="6"/>
      <c r="H146" s="3"/>
      <c r="I146" s="5"/>
      <c r="J146" s="7"/>
      <c r="K146" s="7"/>
      <c r="L146" s="8"/>
      <c r="M146" s="9"/>
      <c r="N146" s="5"/>
      <c r="O146" s="5"/>
      <c r="P146" s="4"/>
      <c r="Q146" s="7"/>
      <c r="R146" s="10"/>
      <c r="S146" s="10"/>
    </row>
    <row r="147">
      <c r="A147" s="2"/>
      <c r="B147" s="3"/>
      <c r="C147" s="4"/>
      <c r="D147" s="5"/>
      <c r="E147" s="3"/>
      <c r="F147" s="3"/>
      <c r="G147" s="6"/>
      <c r="H147" s="3"/>
      <c r="I147" s="5"/>
      <c r="J147" s="7"/>
      <c r="K147" s="7"/>
      <c r="L147" s="8"/>
      <c r="M147" s="9"/>
      <c r="N147" s="5"/>
      <c r="O147" s="5"/>
      <c r="P147" s="4"/>
      <c r="Q147" s="7"/>
      <c r="R147" s="10"/>
      <c r="S147" s="10"/>
    </row>
    <row r="148">
      <c r="A148" s="2"/>
      <c r="B148" s="3"/>
      <c r="C148" s="4"/>
      <c r="D148" s="5"/>
      <c r="E148" s="3"/>
      <c r="F148" s="3"/>
      <c r="G148" s="6"/>
      <c r="H148" s="3"/>
      <c r="I148" s="5"/>
      <c r="J148" s="7"/>
      <c r="K148" s="7"/>
      <c r="L148" s="8"/>
      <c r="M148" s="9"/>
      <c r="N148" s="5"/>
      <c r="O148" s="5"/>
      <c r="P148" s="4"/>
      <c r="Q148" s="7"/>
      <c r="R148" s="10"/>
      <c r="S148" s="10"/>
    </row>
    <row r="149">
      <c r="A149" s="2"/>
      <c r="B149" s="3"/>
      <c r="C149" s="4"/>
      <c r="D149" s="5"/>
      <c r="E149" s="3"/>
      <c r="F149" s="3"/>
      <c r="G149" s="6"/>
      <c r="H149" s="3"/>
      <c r="I149" s="5"/>
      <c r="J149" s="7"/>
      <c r="K149" s="7"/>
      <c r="L149" s="8"/>
      <c r="M149" s="9"/>
      <c r="N149" s="5"/>
      <c r="O149" s="5"/>
      <c r="P149" s="4"/>
      <c r="Q149" s="7"/>
      <c r="R149" s="10"/>
      <c r="S149" s="10"/>
    </row>
    <row r="150">
      <c r="A150" s="2"/>
      <c r="B150" s="3"/>
      <c r="C150" s="4"/>
      <c r="D150" s="5"/>
      <c r="E150" s="3"/>
      <c r="F150" s="3"/>
      <c r="G150" s="6"/>
      <c r="H150" s="3"/>
      <c r="I150" s="5"/>
      <c r="J150" s="7"/>
      <c r="K150" s="7"/>
      <c r="L150" s="8"/>
      <c r="M150" s="9"/>
      <c r="N150" s="5"/>
      <c r="O150" s="5"/>
      <c r="P150" s="4"/>
      <c r="Q150" s="7"/>
      <c r="R150" s="10"/>
      <c r="S150" s="10"/>
    </row>
    <row r="151">
      <c r="A151" s="2"/>
      <c r="B151" s="3"/>
      <c r="C151" s="4"/>
      <c r="D151" s="5"/>
      <c r="E151" s="3"/>
      <c r="F151" s="3"/>
      <c r="G151" s="6"/>
      <c r="H151" s="3"/>
      <c r="I151" s="5"/>
      <c r="J151" s="7"/>
      <c r="K151" s="7"/>
      <c r="L151" s="8"/>
      <c r="M151" s="9"/>
      <c r="N151" s="5"/>
      <c r="O151" s="5"/>
      <c r="P151" s="4"/>
      <c r="Q151" s="7"/>
      <c r="R151" s="10"/>
      <c r="S151" s="10"/>
    </row>
    <row r="152">
      <c r="A152" s="2"/>
      <c r="B152" s="3"/>
      <c r="C152" s="4"/>
      <c r="D152" s="5"/>
      <c r="E152" s="3"/>
      <c r="F152" s="3"/>
      <c r="G152" s="6"/>
      <c r="H152" s="3"/>
      <c r="I152" s="5"/>
      <c r="J152" s="7"/>
      <c r="K152" s="7"/>
      <c r="L152" s="8"/>
      <c r="M152" s="9"/>
      <c r="N152" s="5"/>
      <c r="O152" s="5"/>
      <c r="P152" s="4"/>
      <c r="Q152" s="7"/>
      <c r="R152" s="10"/>
      <c r="S152" s="10"/>
    </row>
    <row r="153">
      <c r="A153" s="2"/>
      <c r="B153" s="3"/>
      <c r="C153" s="4"/>
      <c r="D153" s="5"/>
      <c r="E153" s="3"/>
      <c r="F153" s="3"/>
      <c r="G153" s="6"/>
      <c r="H153" s="3"/>
      <c r="I153" s="5"/>
      <c r="J153" s="7"/>
      <c r="K153" s="7"/>
      <c r="L153" s="8"/>
      <c r="M153" s="9"/>
      <c r="N153" s="5"/>
      <c r="O153" s="5"/>
      <c r="P153" s="4"/>
      <c r="Q153" s="7"/>
      <c r="R153" s="10"/>
      <c r="S153" s="10"/>
    </row>
    <row r="154">
      <c r="A154" s="2"/>
      <c r="B154" s="3"/>
      <c r="C154" s="4"/>
      <c r="D154" s="5"/>
      <c r="E154" s="3"/>
      <c r="F154" s="3"/>
      <c r="G154" s="6"/>
      <c r="H154" s="3"/>
      <c r="I154" s="5"/>
      <c r="J154" s="7"/>
      <c r="K154" s="7"/>
      <c r="L154" s="8"/>
      <c r="M154" s="9"/>
      <c r="N154" s="5"/>
      <c r="O154" s="5"/>
      <c r="P154" s="4"/>
      <c r="Q154" s="7"/>
      <c r="R154" s="10"/>
      <c r="S154" s="10"/>
    </row>
    <row r="155">
      <c r="A155" s="2"/>
      <c r="B155" s="3"/>
      <c r="C155" s="4"/>
      <c r="D155" s="5"/>
      <c r="E155" s="3"/>
      <c r="F155" s="3"/>
      <c r="G155" s="6"/>
      <c r="H155" s="3"/>
      <c r="I155" s="5"/>
      <c r="J155" s="7"/>
      <c r="K155" s="7"/>
      <c r="L155" s="8"/>
      <c r="M155" s="9"/>
      <c r="N155" s="5"/>
      <c r="O155" s="5"/>
      <c r="P155" s="4"/>
      <c r="Q155" s="7"/>
      <c r="R155" s="10"/>
      <c r="S155" s="10"/>
    </row>
    <row r="156">
      <c r="A156" s="2"/>
      <c r="B156" s="3"/>
      <c r="C156" s="4"/>
      <c r="D156" s="5"/>
      <c r="E156" s="3"/>
      <c r="F156" s="3"/>
      <c r="G156" s="6"/>
      <c r="H156" s="3"/>
      <c r="I156" s="5"/>
      <c r="J156" s="7"/>
      <c r="K156" s="7"/>
      <c r="L156" s="8"/>
      <c r="M156" s="9"/>
      <c r="N156" s="5"/>
      <c r="O156" s="5"/>
      <c r="P156" s="4"/>
      <c r="Q156" s="7"/>
      <c r="R156" s="10"/>
      <c r="S156" s="10"/>
    </row>
    <row r="157">
      <c r="A157" s="2"/>
      <c r="B157" s="3"/>
      <c r="C157" s="4"/>
      <c r="D157" s="5"/>
      <c r="E157" s="3"/>
      <c r="F157" s="3"/>
      <c r="G157" s="6"/>
      <c r="H157" s="3"/>
      <c r="I157" s="5"/>
      <c r="J157" s="7"/>
      <c r="K157" s="7"/>
      <c r="L157" s="8"/>
      <c r="M157" s="9"/>
      <c r="N157" s="5"/>
      <c r="O157" s="5"/>
      <c r="P157" s="4"/>
      <c r="Q157" s="7"/>
      <c r="R157" s="10"/>
      <c r="S157" s="10"/>
    </row>
    <row r="158">
      <c r="A158" s="2"/>
      <c r="B158" s="3"/>
      <c r="C158" s="4"/>
      <c r="D158" s="5"/>
      <c r="E158" s="3"/>
      <c r="F158" s="3"/>
      <c r="G158" s="6"/>
      <c r="H158" s="3"/>
      <c r="I158" s="5"/>
      <c r="J158" s="7"/>
      <c r="K158" s="7"/>
      <c r="L158" s="8"/>
      <c r="M158" s="9"/>
      <c r="N158" s="5"/>
      <c r="O158" s="5"/>
      <c r="P158" s="4"/>
      <c r="Q158" s="7"/>
      <c r="R158" s="10"/>
      <c r="S158" s="10"/>
    </row>
    <row r="159">
      <c r="A159" s="2"/>
      <c r="B159" s="3"/>
      <c r="C159" s="4"/>
      <c r="D159" s="5"/>
      <c r="E159" s="3"/>
      <c r="F159" s="3"/>
      <c r="G159" s="6"/>
      <c r="H159" s="3"/>
      <c r="I159" s="5"/>
      <c r="J159" s="7"/>
      <c r="K159" s="7"/>
      <c r="L159" s="8"/>
      <c r="M159" s="9"/>
      <c r="N159" s="5"/>
      <c r="O159" s="5"/>
      <c r="P159" s="4"/>
      <c r="Q159" s="7"/>
      <c r="R159" s="10"/>
      <c r="S159" s="10"/>
    </row>
    <row r="160">
      <c r="A160" s="2"/>
      <c r="B160" s="3"/>
      <c r="C160" s="4"/>
      <c r="D160" s="5"/>
      <c r="E160" s="3"/>
      <c r="F160" s="3"/>
      <c r="G160" s="6"/>
      <c r="H160" s="3"/>
      <c r="I160" s="5"/>
      <c r="J160" s="7"/>
      <c r="K160" s="7"/>
      <c r="L160" s="8"/>
      <c r="M160" s="9"/>
      <c r="N160" s="5"/>
      <c r="O160" s="5"/>
      <c r="P160" s="4"/>
      <c r="Q160" s="7"/>
      <c r="R160" s="10"/>
      <c r="S160" s="10"/>
    </row>
    <row r="161">
      <c r="A161" s="2"/>
      <c r="B161" s="3"/>
      <c r="C161" s="4"/>
      <c r="D161" s="5"/>
      <c r="E161" s="3"/>
      <c r="F161" s="3"/>
      <c r="G161" s="6"/>
      <c r="H161" s="3"/>
      <c r="I161" s="5"/>
      <c r="J161" s="7"/>
      <c r="K161" s="7"/>
      <c r="L161" s="8"/>
      <c r="M161" s="9"/>
      <c r="N161" s="5"/>
      <c r="O161" s="5"/>
      <c r="P161" s="4"/>
      <c r="Q161" s="7"/>
      <c r="R161" s="10"/>
      <c r="S161" s="10"/>
    </row>
    <row r="162">
      <c r="A162" s="2"/>
      <c r="B162" s="3"/>
      <c r="C162" s="4"/>
      <c r="D162" s="5"/>
      <c r="E162" s="3"/>
      <c r="F162" s="3"/>
      <c r="G162" s="6"/>
      <c r="H162" s="3"/>
      <c r="I162" s="5"/>
      <c r="J162" s="7"/>
      <c r="K162" s="7"/>
      <c r="L162" s="8"/>
      <c r="M162" s="9"/>
      <c r="N162" s="5"/>
      <c r="O162" s="5"/>
      <c r="P162" s="4"/>
      <c r="Q162" s="7"/>
      <c r="R162" s="10"/>
      <c r="S162" s="10"/>
    </row>
    <row r="163">
      <c r="A163" s="2"/>
      <c r="B163" s="3"/>
      <c r="C163" s="4"/>
      <c r="D163" s="5"/>
      <c r="E163" s="3"/>
      <c r="F163" s="3"/>
      <c r="G163" s="6"/>
      <c r="H163" s="3"/>
      <c r="I163" s="5"/>
      <c r="J163" s="7"/>
      <c r="K163" s="7"/>
      <c r="L163" s="8"/>
      <c r="M163" s="9"/>
      <c r="N163" s="5"/>
      <c r="O163" s="5"/>
      <c r="P163" s="4"/>
      <c r="Q163" s="7"/>
      <c r="R163" s="10"/>
      <c r="S163" s="10"/>
    </row>
    <row r="164">
      <c r="A164" s="2"/>
      <c r="B164" s="3"/>
      <c r="C164" s="4"/>
      <c r="D164" s="5"/>
      <c r="E164" s="3"/>
      <c r="F164" s="3"/>
      <c r="G164" s="6"/>
      <c r="H164" s="3"/>
      <c r="I164" s="5"/>
      <c r="J164" s="7"/>
      <c r="K164" s="7"/>
      <c r="L164" s="8"/>
      <c r="M164" s="9"/>
      <c r="N164" s="5"/>
      <c r="O164" s="5"/>
      <c r="P164" s="4"/>
      <c r="Q164" s="7"/>
      <c r="R164" s="10"/>
      <c r="S164" s="10"/>
    </row>
    <row r="165">
      <c r="A165" s="2"/>
      <c r="B165" s="3"/>
      <c r="C165" s="4"/>
      <c r="D165" s="5"/>
      <c r="E165" s="3"/>
      <c r="F165" s="3"/>
      <c r="G165" s="6"/>
      <c r="H165" s="3"/>
      <c r="I165" s="5"/>
      <c r="J165" s="7"/>
      <c r="K165" s="7"/>
      <c r="L165" s="8"/>
      <c r="M165" s="9"/>
      <c r="N165" s="5"/>
      <c r="O165" s="5"/>
      <c r="P165" s="4"/>
      <c r="Q165" s="7"/>
      <c r="R165" s="10"/>
      <c r="S165" s="10"/>
    </row>
    <row r="166">
      <c r="A166" s="2"/>
      <c r="B166" s="3"/>
      <c r="C166" s="4"/>
      <c r="D166" s="5"/>
      <c r="E166" s="3"/>
      <c r="F166" s="3"/>
      <c r="G166" s="6"/>
      <c r="H166" s="3"/>
      <c r="I166" s="5"/>
      <c r="J166" s="7"/>
      <c r="K166" s="7"/>
      <c r="L166" s="8"/>
      <c r="M166" s="9"/>
      <c r="N166" s="5"/>
      <c r="O166" s="5"/>
      <c r="P166" s="4"/>
      <c r="Q166" s="7"/>
      <c r="R166" s="10"/>
      <c r="S166" s="10"/>
    </row>
    <row r="167">
      <c r="A167" s="2"/>
      <c r="B167" s="3"/>
      <c r="C167" s="4"/>
      <c r="D167" s="5"/>
      <c r="E167" s="3"/>
      <c r="F167" s="3"/>
      <c r="G167" s="6"/>
      <c r="H167" s="3"/>
      <c r="I167" s="5"/>
      <c r="J167" s="7"/>
      <c r="K167" s="7"/>
      <c r="L167" s="8"/>
      <c r="M167" s="9"/>
      <c r="N167" s="5"/>
      <c r="O167" s="5"/>
      <c r="P167" s="4"/>
      <c r="Q167" s="7"/>
      <c r="R167" s="10"/>
      <c r="S167" s="10"/>
    </row>
    <row r="168">
      <c r="A168" s="2"/>
      <c r="B168" s="3"/>
      <c r="C168" s="4"/>
      <c r="D168" s="5"/>
      <c r="E168" s="3"/>
      <c r="F168" s="3"/>
      <c r="G168" s="6"/>
      <c r="H168" s="3"/>
      <c r="I168" s="5"/>
      <c r="J168" s="7"/>
      <c r="K168" s="7"/>
      <c r="L168" s="8"/>
      <c r="M168" s="9"/>
      <c r="N168" s="5"/>
      <c r="O168" s="5"/>
      <c r="P168" s="4"/>
      <c r="Q168" s="7"/>
      <c r="R168" s="10"/>
      <c r="S168" s="10"/>
    </row>
    <row r="169">
      <c r="A169" s="2"/>
      <c r="B169" s="3"/>
      <c r="C169" s="4"/>
      <c r="D169" s="5"/>
      <c r="E169" s="3"/>
      <c r="F169" s="3"/>
      <c r="G169" s="6"/>
      <c r="H169" s="3"/>
      <c r="I169" s="5"/>
      <c r="J169" s="7"/>
      <c r="K169" s="7"/>
      <c r="L169" s="8"/>
      <c r="M169" s="9"/>
      <c r="N169" s="5"/>
      <c r="O169" s="5"/>
      <c r="P169" s="4"/>
      <c r="Q169" s="7"/>
      <c r="R169" s="10"/>
      <c r="S169" s="10"/>
    </row>
    <row r="170">
      <c r="A170" s="2"/>
      <c r="B170" s="3"/>
      <c r="C170" s="4"/>
      <c r="D170" s="5"/>
      <c r="E170" s="3"/>
      <c r="F170" s="3"/>
      <c r="G170" s="6"/>
      <c r="H170" s="3"/>
      <c r="I170" s="5"/>
      <c r="J170" s="7"/>
      <c r="K170" s="7"/>
      <c r="L170" s="8"/>
      <c r="M170" s="9"/>
      <c r="N170" s="5"/>
      <c r="O170" s="5"/>
      <c r="P170" s="4"/>
      <c r="Q170" s="7"/>
      <c r="R170" s="10"/>
      <c r="S170" s="10"/>
    </row>
    <row r="171">
      <c r="A171" s="2"/>
      <c r="B171" s="3"/>
      <c r="C171" s="4"/>
      <c r="D171" s="5"/>
      <c r="E171" s="3"/>
      <c r="F171" s="3"/>
      <c r="G171" s="6"/>
      <c r="H171" s="3"/>
      <c r="I171" s="5"/>
      <c r="J171" s="7"/>
      <c r="K171" s="7"/>
      <c r="L171" s="8"/>
      <c r="M171" s="9"/>
      <c r="N171" s="5"/>
      <c r="O171" s="5"/>
      <c r="P171" s="4"/>
      <c r="Q171" s="7"/>
      <c r="R171" s="10"/>
      <c r="S171" s="10"/>
    </row>
    <row r="172">
      <c r="A172" s="2"/>
      <c r="B172" s="3"/>
      <c r="C172" s="4"/>
      <c r="D172" s="5"/>
      <c r="E172" s="3"/>
      <c r="F172" s="3"/>
      <c r="G172" s="6"/>
      <c r="H172" s="3"/>
      <c r="I172" s="5"/>
      <c r="J172" s="7"/>
      <c r="K172" s="7"/>
      <c r="L172" s="8"/>
      <c r="M172" s="9"/>
      <c r="N172" s="5"/>
      <c r="O172" s="5"/>
      <c r="P172" s="4"/>
      <c r="Q172" s="7"/>
      <c r="R172" s="10"/>
      <c r="S172" s="10"/>
    </row>
    <row r="173">
      <c r="A173" s="2"/>
      <c r="B173" s="3"/>
      <c r="C173" s="4"/>
      <c r="D173" s="5"/>
      <c r="E173" s="3"/>
      <c r="F173" s="3"/>
      <c r="G173" s="6"/>
      <c r="H173" s="3"/>
      <c r="I173" s="5"/>
      <c r="J173" s="7"/>
      <c r="K173" s="7"/>
      <c r="L173" s="8"/>
      <c r="M173" s="9"/>
      <c r="N173" s="5"/>
      <c r="O173" s="5"/>
      <c r="P173" s="4"/>
      <c r="Q173" s="7"/>
      <c r="R173" s="10"/>
      <c r="S173" s="10"/>
    </row>
    <row r="174">
      <c r="A174" s="2"/>
      <c r="B174" s="3"/>
      <c r="C174" s="4"/>
      <c r="D174" s="5"/>
      <c r="E174" s="3"/>
      <c r="F174" s="3"/>
      <c r="G174" s="6"/>
      <c r="H174" s="3"/>
      <c r="I174" s="5"/>
      <c r="J174" s="7"/>
      <c r="K174" s="7"/>
      <c r="L174" s="8"/>
      <c r="M174" s="9"/>
      <c r="N174" s="5"/>
      <c r="O174" s="5"/>
      <c r="P174" s="4"/>
      <c r="Q174" s="7"/>
      <c r="R174" s="10"/>
      <c r="S174" s="10"/>
    </row>
    <row r="175">
      <c r="A175" s="2"/>
      <c r="B175" s="3"/>
      <c r="C175" s="4"/>
      <c r="D175" s="5"/>
      <c r="E175" s="3"/>
      <c r="F175" s="3"/>
      <c r="G175" s="6"/>
      <c r="H175" s="3"/>
      <c r="I175" s="5"/>
      <c r="J175" s="7"/>
      <c r="K175" s="7"/>
      <c r="L175" s="8"/>
      <c r="M175" s="9"/>
      <c r="N175" s="5"/>
      <c r="O175" s="5"/>
      <c r="P175" s="4"/>
      <c r="Q175" s="7"/>
      <c r="R175" s="10"/>
      <c r="S175" s="10"/>
    </row>
    <row r="176">
      <c r="A176" s="2"/>
      <c r="B176" s="3"/>
      <c r="C176" s="4"/>
      <c r="D176" s="5"/>
      <c r="E176" s="3"/>
      <c r="F176" s="3"/>
      <c r="G176" s="6"/>
      <c r="H176" s="3"/>
      <c r="I176" s="5"/>
      <c r="J176" s="7"/>
      <c r="K176" s="7"/>
      <c r="L176" s="8"/>
      <c r="M176" s="9"/>
      <c r="N176" s="5"/>
      <c r="O176" s="5"/>
      <c r="P176" s="4"/>
      <c r="Q176" s="7"/>
      <c r="R176" s="10"/>
      <c r="S176" s="10"/>
    </row>
    <row r="177">
      <c r="A177" s="2"/>
      <c r="B177" s="3"/>
      <c r="C177" s="4"/>
      <c r="D177" s="5"/>
      <c r="E177" s="3"/>
      <c r="F177" s="3"/>
      <c r="G177" s="6"/>
      <c r="H177" s="3"/>
      <c r="I177" s="5"/>
      <c r="J177" s="7"/>
      <c r="K177" s="7"/>
      <c r="L177" s="8"/>
      <c r="M177" s="9"/>
      <c r="N177" s="5"/>
      <c r="O177" s="5"/>
      <c r="P177" s="4"/>
      <c r="Q177" s="7"/>
      <c r="R177" s="10"/>
      <c r="S177" s="10"/>
    </row>
    <row r="178">
      <c r="A178" s="2"/>
      <c r="B178" s="3"/>
      <c r="C178" s="4"/>
      <c r="D178" s="5"/>
      <c r="E178" s="3"/>
      <c r="F178" s="3"/>
      <c r="G178" s="6"/>
      <c r="H178" s="3"/>
      <c r="I178" s="5"/>
      <c r="J178" s="7"/>
      <c r="K178" s="7"/>
      <c r="L178" s="8"/>
      <c r="M178" s="9"/>
      <c r="N178" s="5"/>
      <c r="O178" s="5"/>
      <c r="P178" s="4"/>
      <c r="Q178" s="7"/>
      <c r="R178" s="10"/>
      <c r="S178" s="10"/>
    </row>
    <row r="179">
      <c r="A179" s="2"/>
      <c r="B179" s="3"/>
      <c r="C179" s="4"/>
      <c r="D179" s="5"/>
      <c r="E179" s="3"/>
      <c r="F179" s="3"/>
      <c r="G179" s="6"/>
      <c r="H179" s="3"/>
      <c r="I179" s="5"/>
      <c r="J179" s="7"/>
      <c r="K179" s="7"/>
      <c r="L179" s="8"/>
      <c r="M179" s="9"/>
      <c r="N179" s="5"/>
      <c r="O179" s="5"/>
      <c r="P179" s="4"/>
      <c r="Q179" s="7"/>
      <c r="R179" s="10"/>
      <c r="S179" s="10"/>
    </row>
    <row r="180">
      <c r="A180" s="2"/>
      <c r="B180" s="3"/>
      <c r="C180" s="4"/>
      <c r="D180" s="5"/>
      <c r="E180" s="3"/>
      <c r="F180" s="3"/>
      <c r="G180" s="6"/>
      <c r="H180" s="3"/>
      <c r="I180" s="5"/>
      <c r="J180" s="7"/>
      <c r="K180" s="7"/>
      <c r="L180" s="8"/>
      <c r="M180" s="9"/>
      <c r="N180" s="5"/>
      <c r="O180" s="5"/>
      <c r="P180" s="4"/>
      <c r="Q180" s="7"/>
      <c r="R180" s="10"/>
      <c r="S180" s="10"/>
    </row>
    <row r="181">
      <c r="A181" s="2"/>
      <c r="B181" s="3"/>
      <c r="C181" s="4"/>
      <c r="D181" s="5"/>
      <c r="E181" s="3"/>
      <c r="F181" s="3"/>
      <c r="G181" s="6"/>
      <c r="H181" s="3"/>
      <c r="I181" s="5"/>
      <c r="J181" s="7"/>
      <c r="K181" s="7"/>
      <c r="L181" s="8"/>
      <c r="M181" s="9"/>
      <c r="N181" s="5"/>
      <c r="O181" s="5"/>
      <c r="P181" s="4"/>
      <c r="Q181" s="7"/>
      <c r="R181" s="10"/>
      <c r="S181" s="10"/>
    </row>
    <row r="182">
      <c r="A182" s="2"/>
      <c r="B182" s="3"/>
      <c r="C182" s="4"/>
      <c r="D182" s="5"/>
      <c r="E182" s="3"/>
      <c r="F182" s="3"/>
      <c r="G182" s="6"/>
      <c r="H182" s="3"/>
      <c r="I182" s="5"/>
      <c r="J182" s="7"/>
      <c r="K182" s="7"/>
      <c r="L182" s="8"/>
      <c r="M182" s="9"/>
      <c r="N182" s="5"/>
      <c r="O182" s="5"/>
      <c r="P182" s="4"/>
      <c r="Q182" s="7"/>
      <c r="R182" s="10"/>
      <c r="S182" s="10"/>
    </row>
    <row r="183">
      <c r="A183" s="2"/>
      <c r="B183" s="3"/>
      <c r="C183" s="4"/>
      <c r="D183" s="5"/>
      <c r="E183" s="3"/>
      <c r="F183" s="3"/>
      <c r="G183" s="6"/>
      <c r="H183" s="3"/>
      <c r="I183" s="5"/>
      <c r="J183" s="7"/>
      <c r="K183" s="7"/>
      <c r="L183" s="8"/>
      <c r="M183" s="9"/>
      <c r="N183" s="5"/>
      <c r="O183" s="5"/>
      <c r="P183" s="4"/>
      <c r="Q183" s="7"/>
      <c r="R183" s="10"/>
      <c r="S183" s="10"/>
    </row>
    <row r="184">
      <c r="A184" s="2"/>
      <c r="B184" s="3"/>
      <c r="C184" s="4"/>
      <c r="D184" s="5"/>
      <c r="E184" s="3"/>
      <c r="F184" s="3"/>
      <c r="G184" s="6"/>
      <c r="H184" s="3"/>
      <c r="I184" s="5"/>
      <c r="J184" s="7"/>
      <c r="K184" s="7"/>
      <c r="L184" s="8"/>
      <c r="M184" s="9"/>
      <c r="N184" s="5"/>
      <c r="O184" s="5"/>
      <c r="P184" s="4"/>
      <c r="Q184" s="7"/>
      <c r="R184" s="10"/>
      <c r="S184" s="10"/>
    </row>
    <row r="185">
      <c r="A185" s="2"/>
      <c r="B185" s="3"/>
      <c r="C185" s="4"/>
      <c r="D185" s="5"/>
      <c r="E185" s="3"/>
      <c r="F185" s="3"/>
      <c r="G185" s="6"/>
      <c r="H185" s="3"/>
      <c r="I185" s="5"/>
      <c r="J185" s="7"/>
      <c r="K185" s="7"/>
      <c r="L185" s="8"/>
      <c r="M185" s="9"/>
      <c r="N185" s="5"/>
      <c r="O185" s="5"/>
      <c r="P185" s="4"/>
      <c r="Q185" s="7"/>
      <c r="R185" s="10"/>
      <c r="S185" s="10"/>
    </row>
    <row r="186">
      <c r="A186" s="2"/>
      <c r="B186" s="3"/>
      <c r="C186" s="4"/>
      <c r="D186" s="5"/>
      <c r="E186" s="3"/>
      <c r="F186" s="3"/>
      <c r="G186" s="6"/>
      <c r="H186" s="3"/>
      <c r="I186" s="5"/>
      <c r="J186" s="7"/>
      <c r="K186" s="7"/>
      <c r="L186" s="8"/>
      <c r="M186" s="9"/>
      <c r="N186" s="5"/>
      <c r="O186" s="5"/>
      <c r="P186" s="4"/>
      <c r="Q186" s="7"/>
      <c r="R186" s="10"/>
      <c r="S186" s="10"/>
    </row>
    <row r="187">
      <c r="A187" s="2"/>
      <c r="B187" s="3"/>
      <c r="C187" s="4"/>
      <c r="D187" s="5"/>
      <c r="E187" s="3"/>
      <c r="F187" s="3"/>
      <c r="G187" s="6"/>
      <c r="H187" s="3"/>
      <c r="I187" s="5"/>
      <c r="J187" s="7"/>
      <c r="K187" s="7"/>
      <c r="L187" s="8"/>
      <c r="M187" s="9"/>
      <c r="N187" s="5"/>
      <c r="O187" s="5"/>
      <c r="P187" s="4"/>
      <c r="Q187" s="7"/>
      <c r="R187" s="10"/>
      <c r="S187" s="10"/>
    </row>
    <row r="188">
      <c r="A188" s="2"/>
      <c r="B188" s="3"/>
      <c r="C188" s="4"/>
      <c r="D188" s="5"/>
      <c r="E188" s="3"/>
      <c r="F188" s="3"/>
      <c r="G188" s="6"/>
      <c r="H188" s="3"/>
      <c r="I188" s="5"/>
      <c r="J188" s="7"/>
      <c r="K188" s="7"/>
      <c r="L188" s="8"/>
      <c r="M188" s="9"/>
      <c r="N188" s="5"/>
      <c r="O188" s="5"/>
      <c r="P188" s="4"/>
      <c r="Q188" s="7"/>
      <c r="R188" s="10"/>
      <c r="S188" s="10"/>
    </row>
    <row r="189">
      <c r="A189" s="2"/>
      <c r="B189" s="3"/>
      <c r="C189" s="4"/>
      <c r="D189" s="5"/>
      <c r="E189" s="3"/>
      <c r="F189" s="3"/>
      <c r="G189" s="6"/>
      <c r="H189" s="3"/>
      <c r="I189" s="5"/>
      <c r="J189" s="7"/>
      <c r="K189" s="7"/>
      <c r="L189" s="8"/>
      <c r="M189" s="9"/>
      <c r="N189" s="5"/>
      <c r="O189" s="5"/>
      <c r="P189" s="4"/>
      <c r="Q189" s="7"/>
      <c r="R189" s="10"/>
      <c r="S189" s="10"/>
    </row>
    <row r="190">
      <c r="A190" s="2"/>
      <c r="B190" s="3"/>
      <c r="C190" s="4"/>
      <c r="D190" s="5"/>
      <c r="E190" s="3"/>
      <c r="F190" s="3"/>
      <c r="G190" s="6"/>
      <c r="H190" s="3"/>
      <c r="I190" s="5"/>
      <c r="J190" s="7"/>
      <c r="K190" s="7"/>
      <c r="L190" s="8"/>
      <c r="M190" s="9"/>
      <c r="N190" s="5"/>
      <c r="O190" s="5"/>
      <c r="P190" s="4"/>
      <c r="Q190" s="7"/>
      <c r="R190" s="10"/>
      <c r="S190" s="10"/>
    </row>
    <row r="191">
      <c r="A191" s="2"/>
      <c r="B191" s="3"/>
      <c r="C191" s="4"/>
      <c r="D191" s="5"/>
      <c r="E191" s="3"/>
      <c r="F191" s="3"/>
      <c r="G191" s="6"/>
      <c r="H191" s="3"/>
      <c r="I191" s="5"/>
      <c r="J191" s="7"/>
      <c r="K191" s="7"/>
      <c r="L191" s="8"/>
      <c r="M191" s="9"/>
      <c r="N191" s="5"/>
      <c r="O191" s="5"/>
      <c r="P191" s="4"/>
      <c r="Q191" s="7"/>
      <c r="R191" s="10"/>
      <c r="S191" s="10"/>
    </row>
    <row r="192">
      <c r="A192" s="2"/>
      <c r="B192" s="3"/>
      <c r="C192" s="4"/>
      <c r="D192" s="5"/>
      <c r="E192" s="3"/>
      <c r="F192" s="3"/>
      <c r="G192" s="6"/>
      <c r="H192" s="3"/>
      <c r="I192" s="5"/>
      <c r="J192" s="7"/>
      <c r="K192" s="7"/>
      <c r="L192" s="8"/>
      <c r="M192" s="9"/>
      <c r="N192" s="5"/>
      <c r="O192" s="5"/>
      <c r="P192" s="4"/>
      <c r="Q192" s="7"/>
      <c r="R192" s="10"/>
      <c r="S192" s="10"/>
    </row>
    <row r="193">
      <c r="A193" s="2"/>
      <c r="B193" s="3"/>
      <c r="C193" s="4"/>
      <c r="D193" s="5"/>
      <c r="E193" s="3"/>
      <c r="F193" s="3"/>
      <c r="G193" s="6"/>
      <c r="H193" s="3"/>
      <c r="I193" s="5"/>
      <c r="J193" s="7"/>
      <c r="K193" s="7"/>
      <c r="L193" s="8"/>
      <c r="M193" s="9"/>
      <c r="N193" s="5"/>
      <c r="O193" s="5"/>
      <c r="P193" s="4"/>
      <c r="Q193" s="7"/>
      <c r="R193" s="10"/>
      <c r="S193" s="10"/>
    </row>
    <row r="194">
      <c r="A194" s="2"/>
      <c r="B194" s="3"/>
      <c r="C194" s="4"/>
      <c r="D194" s="5"/>
      <c r="E194" s="3"/>
      <c r="F194" s="3"/>
      <c r="G194" s="6"/>
      <c r="H194" s="3"/>
      <c r="I194" s="5"/>
      <c r="J194" s="7"/>
      <c r="K194" s="7"/>
      <c r="L194" s="8"/>
      <c r="M194" s="9"/>
      <c r="N194" s="5"/>
      <c r="O194" s="5"/>
      <c r="P194" s="4"/>
      <c r="Q194" s="7"/>
      <c r="R194" s="10"/>
      <c r="S194" s="10"/>
    </row>
    <row r="195">
      <c r="A195" s="2"/>
      <c r="B195" s="3"/>
      <c r="C195" s="4"/>
      <c r="D195" s="5"/>
      <c r="E195" s="3"/>
      <c r="F195" s="3"/>
      <c r="G195" s="6"/>
      <c r="H195" s="3"/>
      <c r="I195" s="5"/>
      <c r="J195" s="7"/>
      <c r="K195" s="7"/>
      <c r="L195" s="8"/>
      <c r="M195" s="9"/>
      <c r="N195" s="5"/>
      <c r="O195" s="5"/>
      <c r="P195" s="4"/>
      <c r="Q195" s="7"/>
      <c r="R195" s="10"/>
      <c r="S195" s="10"/>
    </row>
    <row r="196">
      <c r="A196" s="2"/>
      <c r="B196" s="3"/>
      <c r="C196" s="4"/>
      <c r="D196" s="5"/>
      <c r="E196" s="3"/>
      <c r="F196" s="3"/>
      <c r="G196" s="6"/>
      <c r="H196" s="3"/>
      <c r="I196" s="5"/>
      <c r="J196" s="7"/>
      <c r="K196" s="7"/>
      <c r="L196" s="8"/>
      <c r="M196" s="9"/>
      <c r="N196" s="5"/>
      <c r="O196" s="5"/>
      <c r="P196" s="4"/>
      <c r="Q196" s="7"/>
      <c r="R196" s="10"/>
      <c r="S196" s="10"/>
    </row>
    <row r="197">
      <c r="A197" s="2"/>
      <c r="B197" s="3"/>
      <c r="C197" s="4"/>
      <c r="D197" s="5"/>
      <c r="E197" s="3"/>
      <c r="F197" s="3"/>
      <c r="G197" s="6"/>
      <c r="H197" s="3"/>
      <c r="I197" s="5"/>
      <c r="J197" s="7"/>
      <c r="K197" s="7"/>
      <c r="L197" s="8"/>
      <c r="M197" s="9"/>
      <c r="N197" s="5"/>
      <c r="O197" s="5"/>
      <c r="P197" s="4"/>
      <c r="Q197" s="7"/>
      <c r="R197" s="10"/>
      <c r="S197" s="10"/>
    </row>
    <row r="198">
      <c r="A198" s="2"/>
      <c r="B198" s="3"/>
      <c r="C198" s="4"/>
      <c r="D198" s="5"/>
      <c r="E198" s="3"/>
      <c r="F198" s="3"/>
      <c r="G198" s="6"/>
      <c r="H198" s="3"/>
      <c r="I198" s="5"/>
      <c r="J198" s="7"/>
      <c r="K198" s="7"/>
      <c r="L198" s="8"/>
      <c r="M198" s="9"/>
      <c r="N198" s="5"/>
      <c r="O198" s="5"/>
      <c r="P198" s="4"/>
      <c r="Q198" s="7"/>
      <c r="R198" s="10"/>
      <c r="S198" s="10"/>
    </row>
    <row r="199">
      <c r="A199" s="2"/>
      <c r="B199" s="3"/>
      <c r="C199" s="4"/>
      <c r="D199" s="5"/>
      <c r="E199" s="3"/>
      <c r="F199" s="3"/>
      <c r="G199" s="6"/>
      <c r="H199" s="3"/>
      <c r="I199" s="5"/>
      <c r="J199" s="7"/>
      <c r="K199" s="7"/>
      <c r="L199" s="8"/>
      <c r="M199" s="9"/>
      <c r="N199" s="5"/>
      <c r="O199" s="5"/>
      <c r="P199" s="4"/>
      <c r="Q199" s="7"/>
      <c r="R199" s="10"/>
      <c r="S199" s="10"/>
    </row>
    <row r="200">
      <c r="A200" s="2"/>
      <c r="B200" s="3"/>
      <c r="C200" s="4"/>
      <c r="D200" s="5"/>
      <c r="E200" s="3"/>
      <c r="F200" s="3"/>
      <c r="G200" s="6"/>
      <c r="H200" s="3"/>
      <c r="I200" s="5"/>
      <c r="J200" s="7"/>
      <c r="K200" s="7"/>
      <c r="L200" s="8"/>
      <c r="M200" s="9"/>
      <c r="N200" s="5"/>
      <c r="O200" s="5"/>
      <c r="P200" s="4"/>
      <c r="Q200" s="7"/>
      <c r="R200" s="10"/>
      <c r="S200" s="10"/>
    </row>
    <row r="201">
      <c r="A201" s="2"/>
      <c r="B201" s="3"/>
      <c r="C201" s="4"/>
      <c r="D201" s="5"/>
      <c r="E201" s="3"/>
      <c r="F201" s="3"/>
      <c r="G201" s="6"/>
      <c r="H201" s="3"/>
      <c r="I201" s="5"/>
      <c r="J201" s="7"/>
      <c r="K201" s="7"/>
      <c r="L201" s="8"/>
      <c r="M201" s="9"/>
      <c r="N201" s="5"/>
      <c r="O201" s="5"/>
      <c r="P201" s="4"/>
      <c r="Q201" s="7"/>
      <c r="R201" s="10"/>
      <c r="S201" s="10"/>
    </row>
    <row r="202">
      <c r="A202" s="2"/>
      <c r="B202" s="3"/>
      <c r="C202" s="4"/>
      <c r="D202" s="5"/>
      <c r="E202" s="3"/>
      <c r="F202" s="3"/>
      <c r="G202" s="6"/>
      <c r="H202" s="3"/>
      <c r="I202" s="5"/>
      <c r="J202" s="7"/>
      <c r="K202" s="7"/>
      <c r="L202" s="8"/>
      <c r="M202" s="9"/>
      <c r="N202" s="5"/>
      <c r="O202" s="5"/>
      <c r="P202" s="4"/>
      <c r="Q202" s="7"/>
      <c r="R202" s="10"/>
      <c r="S202" s="10"/>
    </row>
    <row r="203">
      <c r="A203" s="2"/>
      <c r="B203" s="3"/>
      <c r="C203" s="4"/>
      <c r="D203" s="5"/>
      <c r="E203" s="3"/>
      <c r="F203" s="3"/>
      <c r="G203" s="6"/>
      <c r="H203" s="3"/>
      <c r="I203" s="5"/>
      <c r="J203" s="7"/>
      <c r="K203" s="7"/>
      <c r="L203" s="8"/>
      <c r="M203" s="9"/>
      <c r="N203" s="5"/>
      <c r="O203" s="5"/>
      <c r="P203" s="4"/>
      <c r="Q203" s="7"/>
      <c r="R203" s="10"/>
      <c r="S203" s="10"/>
    </row>
    <row r="204">
      <c r="A204" s="2"/>
      <c r="B204" s="3"/>
      <c r="C204" s="4"/>
      <c r="D204" s="5"/>
      <c r="E204" s="3"/>
      <c r="F204" s="3"/>
      <c r="G204" s="6"/>
      <c r="H204" s="3"/>
      <c r="I204" s="5"/>
      <c r="J204" s="7"/>
      <c r="K204" s="7"/>
      <c r="L204" s="8"/>
      <c r="M204" s="9"/>
      <c r="N204" s="5"/>
      <c r="O204" s="5"/>
      <c r="P204" s="4"/>
      <c r="Q204" s="7"/>
      <c r="R204" s="10"/>
      <c r="S204" s="10"/>
    </row>
    <row r="205">
      <c r="A205" s="2"/>
      <c r="B205" s="3"/>
      <c r="C205" s="4"/>
      <c r="D205" s="5"/>
      <c r="E205" s="3"/>
      <c r="F205" s="3"/>
      <c r="G205" s="6"/>
      <c r="H205" s="3"/>
      <c r="I205" s="5"/>
      <c r="J205" s="7"/>
      <c r="K205" s="7"/>
      <c r="L205" s="8"/>
      <c r="M205" s="9"/>
      <c r="N205" s="5"/>
      <c r="O205" s="5"/>
      <c r="P205" s="4"/>
      <c r="Q205" s="7"/>
      <c r="R205" s="10"/>
      <c r="S205" s="10"/>
    </row>
    <row r="206">
      <c r="A206" s="2"/>
      <c r="B206" s="3"/>
      <c r="C206" s="4"/>
      <c r="D206" s="5"/>
      <c r="E206" s="3"/>
      <c r="F206" s="3"/>
      <c r="G206" s="6"/>
      <c r="H206" s="3"/>
      <c r="I206" s="5"/>
      <c r="J206" s="7"/>
      <c r="K206" s="7"/>
      <c r="L206" s="8"/>
      <c r="M206" s="9"/>
      <c r="N206" s="5"/>
      <c r="O206" s="5"/>
      <c r="P206" s="4"/>
      <c r="Q206" s="7"/>
      <c r="R206" s="10"/>
      <c r="S206" s="10"/>
    </row>
    <row r="207">
      <c r="A207" s="2"/>
      <c r="B207" s="3"/>
      <c r="C207" s="4"/>
      <c r="D207" s="5"/>
      <c r="E207" s="3"/>
      <c r="F207" s="3"/>
      <c r="G207" s="6"/>
      <c r="H207" s="3"/>
      <c r="I207" s="5"/>
      <c r="J207" s="7"/>
      <c r="K207" s="7"/>
      <c r="L207" s="8"/>
      <c r="M207" s="9"/>
      <c r="N207" s="5"/>
      <c r="O207" s="5"/>
      <c r="P207" s="4"/>
      <c r="Q207" s="7"/>
      <c r="R207" s="10"/>
      <c r="S207" s="10"/>
    </row>
    <row r="208">
      <c r="A208" s="2"/>
      <c r="B208" s="3"/>
      <c r="C208" s="4"/>
      <c r="D208" s="5"/>
      <c r="E208" s="3"/>
      <c r="F208" s="3"/>
      <c r="G208" s="6"/>
      <c r="H208" s="3"/>
      <c r="I208" s="5"/>
      <c r="J208" s="7"/>
      <c r="K208" s="7"/>
      <c r="L208" s="8"/>
      <c r="M208" s="9"/>
      <c r="N208" s="5"/>
      <c r="O208" s="5"/>
      <c r="P208" s="4"/>
      <c r="Q208" s="7"/>
      <c r="R208" s="10"/>
      <c r="S208" s="10"/>
    </row>
    <row r="209">
      <c r="A209" s="2"/>
      <c r="B209" s="3"/>
      <c r="C209" s="4"/>
      <c r="D209" s="5"/>
      <c r="E209" s="3"/>
      <c r="F209" s="3"/>
      <c r="G209" s="6"/>
      <c r="H209" s="3"/>
      <c r="I209" s="5"/>
      <c r="J209" s="7"/>
      <c r="K209" s="7"/>
      <c r="L209" s="8"/>
      <c r="M209" s="9"/>
      <c r="N209" s="5"/>
      <c r="O209" s="5"/>
      <c r="P209" s="4"/>
      <c r="Q209" s="7"/>
      <c r="R209" s="10"/>
      <c r="S209" s="10"/>
    </row>
    <row r="210">
      <c r="A210" s="2"/>
      <c r="B210" s="3"/>
      <c r="C210" s="4"/>
      <c r="D210" s="5"/>
      <c r="E210" s="3"/>
      <c r="F210" s="3"/>
      <c r="G210" s="6"/>
      <c r="H210" s="3"/>
      <c r="I210" s="5"/>
      <c r="J210" s="7"/>
      <c r="K210" s="7"/>
      <c r="L210" s="8"/>
      <c r="M210" s="9"/>
      <c r="N210" s="5"/>
      <c r="O210" s="5"/>
      <c r="P210" s="4"/>
      <c r="Q210" s="7"/>
      <c r="R210" s="10"/>
      <c r="S210" s="10"/>
    </row>
    <row r="211">
      <c r="A211" s="2"/>
      <c r="B211" s="3"/>
      <c r="C211" s="4"/>
      <c r="D211" s="5"/>
      <c r="E211" s="3"/>
      <c r="F211" s="3"/>
      <c r="G211" s="6"/>
      <c r="H211" s="3"/>
      <c r="I211" s="5"/>
      <c r="J211" s="7"/>
      <c r="K211" s="7"/>
      <c r="L211" s="8"/>
      <c r="M211" s="9"/>
      <c r="N211" s="5"/>
      <c r="O211" s="5"/>
      <c r="P211" s="4"/>
      <c r="Q211" s="7"/>
      <c r="R211" s="10"/>
      <c r="S211" s="10"/>
    </row>
    <row r="212">
      <c r="A212" s="2"/>
      <c r="B212" s="3"/>
      <c r="C212" s="4"/>
      <c r="D212" s="5"/>
      <c r="E212" s="3"/>
      <c r="F212" s="3"/>
      <c r="G212" s="6"/>
      <c r="H212" s="3"/>
      <c r="I212" s="5"/>
      <c r="J212" s="7"/>
      <c r="K212" s="7"/>
      <c r="L212" s="8"/>
      <c r="M212" s="9"/>
      <c r="N212" s="5"/>
      <c r="O212" s="5"/>
      <c r="P212" s="4"/>
      <c r="Q212" s="7"/>
      <c r="R212" s="10"/>
      <c r="S212" s="10"/>
    </row>
    <row r="213">
      <c r="A213" s="2"/>
      <c r="B213" s="3"/>
      <c r="C213" s="4"/>
      <c r="D213" s="5"/>
      <c r="E213" s="3"/>
      <c r="F213" s="3"/>
      <c r="G213" s="6"/>
      <c r="H213" s="3"/>
      <c r="I213" s="5"/>
      <c r="J213" s="7"/>
      <c r="K213" s="7"/>
      <c r="L213" s="8"/>
      <c r="M213" s="9"/>
      <c r="N213" s="5"/>
      <c r="O213" s="5"/>
      <c r="P213" s="4"/>
      <c r="Q213" s="7"/>
      <c r="R213" s="10"/>
      <c r="S213" s="10"/>
    </row>
    <row r="214">
      <c r="A214" s="2"/>
      <c r="B214" s="3"/>
      <c r="C214" s="4"/>
      <c r="D214" s="5"/>
      <c r="E214" s="3"/>
      <c r="F214" s="3"/>
      <c r="G214" s="6"/>
      <c r="H214" s="3"/>
      <c r="I214" s="5"/>
      <c r="J214" s="7"/>
      <c r="K214" s="7"/>
      <c r="L214" s="8"/>
      <c r="M214" s="9"/>
      <c r="N214" s="5"/>
      <c r="O214" s="5"/>
      <c r="P214" s="4"/>
      <c r="Q214" s="7"/>
      <c r="R214" s="10"/>
      <c r="S214" s="10"/>
    </row>
    <row r="215">
      <c r="A215" s="2"/>
      <c r="B215" s="3"/>
      <c r="C215" s="4"/>
      <c r="D215" s="5"/>
      <c r="E215" s="3"/>
      <c r="F215" s="3"/>
      <c r="G215" s="6"/>
      <c r="H215" s="3"/>
      <c r="I215" s="5"/>
      <c r="J215" s="7"/>
      <c r="K215" s="7"/>
      <c r="L215" s="8"/>
      <c r="M215" s="9"/>
      <c r="N215" s="5"/>
      <c r="O215" s="5"/>
      <c r="P215" s="4"/>
      <c r="Q215" s="7"/>
      <c r="R215" s="10"/>
      <c r="S215" s="10"/>
    </row>
    <row r="216">
      <c r="A216" s="2"/>
      <c r="B216" s="3"/>
      <c r="C216" s="4"/>
      <c r="D216" s="5"/>
      <c r="E216" s="3"/>
      <c r="F216" s="3"/>
      <c r="G216" s="6"/>
      <c r="H216" s="3"/>
      <c r="I216" s="5"/>
      <c r="J216" s="7"/>
      <c r="K216" s="7"/>
      <c r="L216" s="8"/>
      <c r="M216" s="9"/>
      <c r="N216" s="5"/>
      <c r="O216" s="5"/>
      <c r="P216" s="4"/>
      <c r="Q216" s="7"/>
      <c r="R216" s="10"/>
      <c r="S216" s="10"/>
    </row>
    <row r="217">
      <c r="A217" s="2"/>
      <c r="B217" s="3"/>
      <c r="C217" s="4"/>
      <c r="D217" s="5"/>
      <c r="E217" s="3"/>
      <c r="F217" s="3"/>
      <c r="G217" s="6"/>
      <c r="H217" s="3"/>
      <c r="I217" s="5"/>
      <c r="J217" s="7"/>
      <c r="K217" s="7"/>
      <c r="L217" s="8"/>
      <c r="M217" s="9"/>
      <c r="N217" s="5"/>
      <c r="O217" s="5"/>
      <c r="P217" s="4"/>
      <c r="Q217" s="7"/>
      <c r="R217" s="10"/>
      <c r="S217" s="10"/>
    </row>
    <row r="218">
      <c r="A218" s="2"/>
      <c r="B218" s="3"/>
      <c r="C218" s="4"/>
      <c r="D218" s="5"/>
      <c r="E218" s="3"/>
      <c r="F218" s="3"/>
      <c r="G218" s="6"/>
      <c r="H218" s="3"/>
      <c r="I218" s="5"/>
      <c r="J218" s="7"/>
      <c r="K218" s="7"/>
      <c r="L218" s="8"/>
      <c r="M218" s="9"/>
      <c r="N218" s="5"/>
      <c r="O218" s="5"/>
      <c r="P218" s="4"/>
      <c r="Q218" s="7"/>
      <c r="R218" s="10"/>
      <c r="S218" s="10"/>
    </row>
    <row r="219">
      <c r="A219" s="2"/>
      <c r="B219" s="3"/>
      <c r="C219" s="4"/>
      <c r="D219" s="5"/>
      <c r="E219" s="3"/>
      <c r="F219" s="3"/>
      <c r="G219" s="6"/>
      <c r="H219" s="3"/>
      <c r="I219" s="5"/>
      <c r="J219" s="7"/>
      <c r="K219" s="7"/>
      <c r="L219" s="8"/>
      <c r="M219" s="9"/>
      <c r="N219" s="5"/>
      <c r="O219" s="5"/>
      <c r="P219" s="4"/>
      <c r="Q219" s="7"/>
      <c r="R219" s="10"/>
      <c r="S219" s="10"/>
    </row>
    <row r="220">
      <c r="A220" s="2"/>
      <c r="B220" s="3"/>
      <c r="C220" s="4"/>
      <c r="D220" s="5"/>
      <c r="E220" s="3"/>
      <c r="F220" s="3"/>
      <c r="G220" s="6"/>
      <c r="H220" s="3"/>
      <c r="I220" s="5"/>
      <c r="J220" s="7"/>
      <c r="K220" s="7"/>
      <c r="L220" s="8"/>
      <c r="M220" s="9"/>
      <c r="N220" s="5"/>
      <c r="O220" s="5"/>
      <c r="P220" s="4"/>
      <c r="Q220" s="7"/>
      <c r="R220" s="10"/>
      <c r="S220" s="10"/>
    </row>
    <row r="221">
      <c r="A221" s="2"/>
      <c r="B221" s="3"/>
      <c r="C221" s="4"/>
      <c r="D221" s="5"/>
      <c r="E221" s="3"/>
      <c r="F221" s="3"/>
      <c r="G221" s="6"/>
      <c r="H221" s="3"/>
      <c r="I221" s="5"/>
      <c r="J221" s="7"/>
      <c r="K221" s="7"/>
      <c r="L221" s="8"/>
      <c r="M221" s="9"/>
      <c r="N221" s="5"/>
      <c r="O221" s="5"/>
      <c r="P221" s="4"/>
      <c r="Q221" s="7"/>
      <c r="R221" s="10"/>
      <c r="S221" s="10"/>
    </row>
    <row r="222">
      <c r="A222" s="2"/>
      <c r="B222" s="3"/>
      <c r="C222" s="4"/>
      <c r="D222" s="5"/>
      <c r="E222" s="3"/>
      <c r="F222" s="3"/>
      <c r="G222" s="6"/>
      <c r="H222" s="3"/>
      <c r="I222" s="5"/>
      <c r="J222" s="7"/>
      <c r="K222" s="7"/>
      <c r="L222" s="8"/>
      <c r="M222" s="9"/>
      <c r="N222" s="5"/>
      <c r="O222" s="5"/>
      <c r="P222" s="4"/>
      <c r="Q222" s="7"/>
      <c r="R222" s="10"/>
      <c r="S222" s="10"/>
    </row>
    <row r="223">
      <c r="A223" s="2"/>
      <c r="B223" s="3"/>
      <c r="C223" s="4"/>
      <c r="D223" s="5"/>
      <c r="E223" s="3"/>
      <c r="F223" s="3"/>
      <c r="G223" s="6"/>
      <c r="H223" s="3"/>
      <c r="I223" s="5"/>
      <c r="J223" s="7"/>
      <c r="K223" s="7"/>
      <c r="L223" s="8"/>
      <c r="M223" s="9"/>
      <c r="N223" s="5"/>
      <c r="O223" s="5"/>
      <c r="P223" s="4"/>
      <c r="Q223" s="7"/>
      <c r="R223" s="10"/>
      <c r="S223" s="10"/>
    </row>
    <row r="224">
      <c r="A224" s="2"/>
      <c r="B224" s="3"/>
      <c r="C224" s="4"/>
      <c r="D224" s="5"/>
      <c r="E224" s="3"/>
      <c r="F224" s="3"/>
      <c r="G224" s="6"/>
      <c r="H224" s="3"/>
      <c r="I224" s="5"/>
      <c r="J224" s="7"/>
      <c r="K224" s="7"/>
      <c r="L224" s="8"/>
      <c r="M224" s="9"/>
      <c r="N224" s="5"/>
      <c r="O224" s="5"/>
      <c r="P224" s="4"/>
      <c r="Q224" s="7"/>
      <c r="R224" s="10"/>
      <c r="S224" s="10"/>
    </row>
    <row r="225">
      <c r="A225" s="2"/>
      <c r="B225" s="3"/>
      <c r="C225" s="4"/>
      <c r="D225" s="5"/>
      <c r="E225" s="3"/>
      <c r="F225" s="3"/>
      <c r="G225" s="6"/>
      <c r="H225" s="3"/>
      <c r="I225" s="5"/>
      <c r="J225" s="7"/>
      <c r="K225" s="7"/>
      <c r="L225" s="8"/>
      <c r="M225" s="9"/>
      <c r="N225" s="5"/>
      <c r="O225" s="5"/>
      <c r="P225" s="4"/>
      <c r="Q225" s="7"/>
      <c r="R225" s="10"/>
      <c r="S225" s="10"/>
    </row>
    <row r="226">
      <c r="A226" s="2"/>
      <c r="B226" s="3"/>
      <c r="C226" s="4"/>
      <c r="D226" s="5"/>
      <c r="E226" s="3"/>
      <c r="F226" s="3"/>
      <c r="G226" s="6"/>
      <c r="H226" s="3"/>
      <c r="I226" s="5"/>
      <c r="J226" s="7"/>
      <c r="K226" s="7"/>
      <c r="L226" s="8"/>
      <c r="M226" s="9"/>
      <c r="N226" s="5"/>
      <c r="O226" s="5"/>
      <c r="P226" s="4"/>
      <c r="Q226" s="7"/>
      <c r="R226" s="10"/>
      <c r="S226" s="10"/>
    </row>
    <row r="227">
      <c r="A227" s="2"/>
      <c r="B227" s="3"/>
      <c r="C227" s="4"/>
      <c r="D227" s="5"/>
      <c r="E227" s="3"/>
      <c r="F227" s="3"/>
      <c r="G227" s="6"/>
      <c r="H227" s="3"/>
      <c r="I227" s="5"/>
      <c r="J227" s="7"/>
      <c r="K227" s="7"/>
      <c r="L227" s="8"/>
      <c r="M227" s="9"/>
      <c r="N227" s="5"/>
      <c r="O227" s="5"/>
      <c r="P227" s="4"/>
      <c r="Q227" s="7"/>
      <c r="R227" s="10"/>
      <c r="S227" s="10"/>
    </row>
    <row r="228">
      <c r="A228" s="2"/>
      <c r="B228" s="3"/>
      <c r="C228" s="4"/>
      <c r="D228" s="5"/>
      <c r="E228" s="3"/>
      <c r="F228" s="3"/>
      <c r="G228" s="6"/>
      <c r="H228" s="3"/>
      <c r="I228" s="5"/>
      <c r="J228" s="7"/>
      <c r="K228" s="7"/>
      <c r="L228" s="8"/>
      <c r="M228" s="9"/>
      <c r="N228" s="5"/>
      <c r="O228" s="5"/>
      <c r="P228" s="4"/>
      <c r="Q228" s="7"/>
      <c r="R228" s="10"/>
      <c r="S228" s="10"/>
    </row>
    <row r="229">
      <c r="A229" s="2"/>
      <c r="B229" s="3"/>
      <c r="C229" s="4"/>
      <c r="D229" s="5"/>
      <c r="E229" s="3"/>
      <c r="F229" s="3"/>
      <c r="G229" s="6"/>
      <c r="H229" s="3"/>
      <c r="I229" s="5"/>
      <c r="J229" s="7"/>
      <c r="K229" s="7"/>
      <c r="L229" s="8"/>
      <c r="M229" s="9"/>
      <c r="N229" s="5"/>
      <c r="O229" s="5"/>
      <c r="P229" s="4"/>
      <c r="Q229" s="7"/>
      <c r="R229" s="10"/>
      <c r="S229" s="10"/>
    </row>
    <row r="230">
      <c r="A230" s="2"/>
      <c r="B230" s="3"/>
      <c r="C230" s="4"/>
      <c r="D230" s="5"/>
      <c r="E230" s="3"/>
      <c r="F230" s="3"/>
      <c r="G230" s="6"/>
      <c r="H230" s="3"/>
      <c r="I230" s="5"/>
      <c r="J230" s="7"/>
      <c r="K230" s="7"/>
      <c r="L230" s="8"/>
      <c r="M230" s="9"/>
      <c r="N230" s="5"/>
      <c r="O230" s="5"/>
      <c r="P230" s="4"/>
      <c r="Q230" s="7"/>
      <c r="R230" s="10"/>
      <c r="S230" s="10"/>
    </row>
    <row r="231">
      <c r="A231" s="2"/>
      <c r="B231" s="3"/>
      <c r="C231" s="4"/>
      <c r="D231" s="5"/>
      <c r="E231" s="3"/>
      <c r="F231" s="3"/>
      <c r="G231" s="6"/>
      <c r="H231" s="3"/>
      <c r="I231" s="5"/>
      <c r="J231" s="7"/>
      <c r="K231" s="7"/>
      <c r="L231" s="8"/>
      <c r="M231" s="9"/>
      <c r="N231" s="5"/>
      <c r="O231" s="5"/>
      <c r="P231" s="4"/>
      <c r="Q231" s="7"/>
      <c r="R231" s="10"/>
      <c r="S231" s="10"/>
    </row>
    <row r="232">
      <c r="A232" s="2"/>
      <c r="B232" s="3"/>
      <c r="C232" s="4"/>
      <c r="D232" s="5"/>
      <c r="E232" s="3"/>
      <c r="F232" s="3"/>
      <c r="G232" s="6"/>
      <c r="H232" s="3"/>
      <c r="I232" s="5"/>
      <c r="J232" s="7"/>
      <c r="K232" s="7"/>
      <c r="L232" s="8"/>
      <c r="M232" s="9"/>
      <c r="N232" s="5"/>
      <c r="O232" s="5"/>
      <c r="P232" s="4"/>
      <c r="Q232" s="7"/>
      <c r="R232" s="10"/>
      <c r="S232" s="10"/>
    </row>
    <row r="233">
      <c r="A233" s="2"/>
      <c r="B233" s="3"/>
      <c r="C233" s="4"/>
      <c r="D233" s="5"/>
      <c r="E233" s="3"/>
      <c r="F233" s="3"/>
      <c r="G233" s="6"/>
      <c r="H233" s="3"/>
      <c r="I233" s="5"/>
      <c r="J233" s="7"/>
      <c r="K233" s="7"/>
      <c r="L233" s="8"/>
      <c r="M233" s="9"/>
      <c r="N233" s="5"/>
      <c r="O233" s="5"/>
      <c r="P233" s="4"/>
      <c r="Q233" s="7"/>
      <c r="R233" s="10"/>
      <c r="S233" s="10"/>
    </row>
    <row r="234">
      <c r="A234" s="2"/>
      <c r="B234" s="3"/>
      <c r="C234" s="4"/>
      <c r="D234" s="5"/>
      <c r="E234" s="3"/>
      <c r="F234" s="3"/>
      <c r="G234" s="6"/>
      <c r="H234" s="3"/>
      <c r="I234" s="5"/>
      <c r="J234" s="7"/>
      <c r="K234" s="7"/>
      <c r="L234" s="8"/>
      <c r="M234" s="9"/>
      <c r="N234" s="5"/>
      <c r="O234" s="5"/>
      <c r="P234" s="4"/>
      <c r="Q234" s="7"/>
      <c r="R234" s="10"/>
      <c r="S234" s="10"/>
    </row>
    <row r="235">
      <c r="A235" s="2"/>
      <c r="B235" s="3"/>
      <c r="C235" s="4"/>
      <c r="D235" s="5"/>
      <c r="E235" s="3"/>
      <c r="F235" s="3"/>
      <c r="G235" s="6"/>
      <c r="H235" s="3"/>
      <c r="I235" s="5"/>
      <c r="J235" s="7"/>
      <c r="K235" s="7"/>
      <c r="L235" s="8"/>
      <c r="M235" s="9"/>
      <c r="N235" s="5"/>
      <c r="O235" s="5"/>
      <c r="P235" s="4"/>
      <c r="Q235" s="7"/>
      <c r="R235" s="10"/>
      <c r="S235" s="10"/>
    </row>
    <row r="236">
      <c r="A236" s="2"/>
      <c r="B236" s="3"/>
      <c r="C236" s="4"/>
      <c r="D236" s="5"/>
      <c r="E236" s="3"/>
      <c r="F236" s="3"/>
      <c r="G236" s="6"/>
      <c r="H236" s="3"/>
      <c r="I236" s="5"/>
      <c r="J236" s="7"/>
      <c r="K236" s="7"/>
      <c r="L236" s="8"/>
      <c r="M236" s="9"/>
      <c r="N236" s="5"/>
      <c r="O236" s="5"/>
      <c r="P236" s="4"/>
      <c r="Q236" s="7"/>
      <c r="R236" s="10"/>
      <c r="S236" s="10"/>
    </row>
    <row r="237">
      <c r="A237" s="2"/>
      <c r="B237" s="3"/>
      <c r="C237" s="4"/>
      <c r="D237" s="5"/>
      <c r="E237" s="3"/>
      <c r="F237" s="3"/>
      <c r="G237" s="6"/>
      <c r="H237" s="3"/>
      <c r="I237" s="5"/>
      <c r="J237" s="7"/>
      <c r="K237" s="7"/>
      <c r="L237" s="8"/>
      <c r="M237" s="9"/>
      <c r="N237" s="5"/>
      <c r="O237" s="5"/>
      <c r="P237" s="4"/>
      <c r="Q237" s="7"/>
      <c r="R237" s="10"/>
      <c r="S237" s="10"/>
    </row>
    <row r="238">
      <c r="A238" s="2"/>
      <c r="B238" s="3"/>
      <c r="C238" s="4"/>
      <c r="D238" s="5"/>
      <c r="E238" s="3"/>
      <c r="F238" s="3"/>
      <c r="G238" s="6"/>
      <c r="H238" s="3"/>
      <c r="I238" s="5"/>
      <c r="J238" s="7"/>
      <c r="K238" s="7"/>
      <c r="L238" s="8"/>
      <c r="M238" s="9"/>
      <c r="N238" s="5"/>
      <c r="O238" s="5"/>
      <c r="P238" s="4"/>
      <c r="Q238" s="7"/>
      <c r="R238" s="10"/>
      <c r="S238" s="10"/>
    </row>
    <row r="239">
      <c r="A239" s="2"/>
      <c r="B239" s="3"/>
      <c r="C239" s="4"/>
      <c r="D239" s="5"/>
      <c r="E239" s="3"/>
      <c r="F239" s="3"/>
      <c r="G239" s="6"/>
      <c r="H239" s="3"/>
      <c r="I239" s="5"/>
      <c r="J239" s="7"/>
      <c r="K239" s="7"/>
      <c r="L239" s="8"/>
      <c r="M239" s="9"/>
      <c r="N239" s="5"/>
      <c r="O239" s="5"/>
      <c r="P239" s="4"/>
      <c r="Q239" s="7"/>
      <c r="R239" s="10"/>
      <c r="S239" s="10"/>
    </row>
    <row r="240">
      <c r="A240" s="2"/>
      <c r="B240" s="3"/>
      <c r="C240" s="4"/>
      <c r="D240" s="5"/>
      <c r="E240" s="3"/>
      <c r="F240" s="3"/>
      <c r="G240" s="6"/>
      <c r="H240" s="3"/>
      <c r="I240" s="5"/>
      <c r="J240" s="7"/>
      <c r="K240" s="7"/>
      <c r="L240" s="8"/>
      <c r="M240" s="9"/>
      <c r="N240" s="5"/>
      <c r="O240" s="5"/>
      <c r="P240" s="4"/>
      <c r="Q240" s="7"/>
      <c r="R240" s="10"/>
      <c r="S240" s="10"/>
    </row>
    <row r="241">
      <c r="A241" s="2"/>
      <c r="B241" s="3"/>
      <c r="C241" s="4"/>
      <c r="D241" s="5"/>
      <c r="E241" s="3"/>
      <c r="F241" s="3"/>
      <c r="G241" s="6"/>
      <c r="H241" s="3"/>
      <c r="I241" s="5"/>
      <c r="J241" s="7"/>
      <c r="K241" s="7"/>
      <c r="L241" s="8"/>
      <c r="M241" s="9"/>
      <c r="N241" s="5"/>
      <c r="O241" s="5"/>
      <c r="P241" s="4"/>
      <c r="Q241" s="7"/>
      <c r="R241" s="10"/>
      <c r="S241" s="10"/>
    </row>
    <row r="242">
      <c r="A242" s="2"/>
      <c r="B242" s="3"/>
      <c r="C242" s="4"/>
      <c r="D242" s="5"/>
      <c r="E242" s="3"/>
      <c r="F242" s="3"/>
      <c r="G242" s="6"/>
      <c r="H242" s="3"/>
      <c r="I242" s="5"/>
      <c r="J242" s="7"/>
      <c r="K242" s="7"/>
      <c r="L242" s="8"/>
      <c r="M242" s="9"/>
      <c r="N242" s="5"/>
      <c r="O242" s="5"/>
      <c r="P242" s="4"/>
      <c r="Q242" s="7"/>
      <c r="R242" s="10"/>
      <c r="S242" s="10"/>
    </row>
    <row r="243">
      <c r="A243" s="2"/>
      <c r="B243" s="3"/>
      <c r="C243" s="4"/>
      <c r="D243" s="5"/>
      <c r="E243" s="3"/>
      <c r="F243" s="3"/>
      <c r="G243" s="6"/>
      <c r="H243" s="3"/>
      <c r="I243" s="5"/>
      <c r="J243" s="7"/>
      <c r="K243" s="7"/>
      <c r="L243" s="8"/>
      <c r="M243" s="9"/>
      <c r="N243" s="5"/>
      <c r="O243" s="5"/>
      <c r="P243" s="4"/>
      <c r="Q243" s="7"/>
      <c r="R243" s="10"/>
      <c r="S243" s="10"/>
    </row>
    <row r="244">
      <c r="A244" s="2"/>
      <c r="B244" s="3"/>
      <c r="C244" s="4"/>
      <c r="D244" s="5"/>
      <c r="E244" s="3"/>
      <c r="F244" s="3"/>
      <c r="G244" s="6"/>
      <c r="H244" s="3"/>
      <c r="I244" s="5"/>
      <c r="J244" s="7"/>
      <c r="K244" s="7"/>
      <c r="L244" s="8"/>
      <c r="M244" s="9"/>
      <c r="N244" s="5"/>
      <c r="O244" s="5"/>
      <c r="P244" s="4"/>
      <c r="Q244" s="7"/>
      <c r="R244" s="10"/>
      <c r="S244" s="10"/>
    </row>
    <row r="245">
      <c r="A245" s="2"/>
      <c r="B245" s="3"/>
      <c r="C245" s="4"/>
      <c r="D245" s="5"/>
      <c r="E245" s="3"/>
      <c r="F245" s="3"/>
      <c r="G245" s="6"/>
      <c r="H245" s="3"/>
      <c r="I245" s="5"/>
      <c r="J245" s="7"/>
      <c r="K245" s="7"/>
      <c r="L245" s="8"/>
      <c r="M245" s="9"/>
      <c r="N245" s="5"/>
      <c r="O245" s="5"/>
      <c r="P245" s="4"/>
      <c r="Q245" s="7"/>
      <c r="R245" s="10"/>
      <c r="S245" s="10"/>
    </row>
    <row r="246">
      <c r="A246" s="2"/>
      <c r="B246" s="3"/>
      <c r="C246" s="4"/>
      <c r="D246" s="5"/>
      <c r="E246" s="3"/>
      <c r="F246" s="3"/>
      <c r="G246" s="6"/>
      <c r="H246" s="3"/>
      <c r="I246" s="5"/>
      <c r="J246" s="7"/>
      <c r="K246" s="7"/>
      <c r="L246" s="8"/>
      <c r="M246" s="9"/>
      <c r="N246" s="5"/>
      <c r="O246" s="5"/>
      <c r="P246" s="4"/>
      <c r="Q246" s="7"/>
      <c r="R246" s="10"/>
      <c r="S246" s="10"/>
    </row>
    <row r="247">
      <c r="A247" s="2"/>
      <c r="B247" s="3"/>
      <c r="C247" s="4"/>
      <c r="D247" s="5"/>
      <c r="E247" s="3"/>
      <c r="F247" s="3"/>
      <c r="G247" s="6"/>
      <c r="H247" s="3"/>
      <c r="I247" s="5"/>
      <c r="J247" s="7"/>
      <c r="K247" s="7"/>
      <c r="L247" s="8"/>
      <c r="M247" s="9"/>
      <c r="N247" s="5"/>
      <c r="O247" s="5"/>
      <c r="P247" s="4"/>
      <c r="Q247" s="7"/>
      <c r="R247" s="10"/>
      <c r="S247" s="10"/>
    </row>
    <row r="248">
      <c r="A248" s="2"/>
      <c r="B248" s="3"/>
      <c r="C248" s="4"/>
      <c r="D248" s="5"/>
      <c r="E248" s="3"/>
      <c r="F248" s="3"/>
      <c r="G248" s="6"/>
      <c r="H248" s="3"/>
      <c r="I248" s="5"/>
      <c r="J248" s="7"/>
      <c r="K248" s="7"/>
      <c r="L248" s="8"/>
      <c r="M248" s="9"/>
      <c r="N248" s="5"/>
      <c r="O248" s="5"/>
      <c r="P248" s="4"/>
      <c r="Q248" s="7"/>
      <c r="R248" s="10"/>
      <c r="S248" s="10"/>
    </row>
    <row r="249">
      <c r="A249" s="2"/>
      <c r="B249" s="3"/>
      <c r="C249" s="4"/>
      <c r="D249" s="5"/>
      <c r="E249" s="3"/>
      <c r="F249" s="3"/>
      <c r="G249" s="6"/>
      <c r="H249" s="3"/>
      <c r="I249" s="5"/>
      <c r="J249" s="7"/>
      <c r="K249" s="7"/>
      <c r="L249" s="8"/>
      <c r="M249" s="9"/>
      <c r="N249" s="5"/>
      <c r="O249" s="5"/>
      <c r="P249" s="4"/>
      <c r="Q249" s="7"/>
      <c r="R249" s="10"/>
      <c r="S249" s="10"/>
    </row>
    <row r="250">
      <c r="A250" s="2"/>
      <c r="B250" s="3"/>
      <c r="C250" s="4"/>
      <c r="D250" s="5"/>
      <c r="E250" s="3"/>
      <c r="F250" s="3"/>
      <c r="G250" s="6"/>
      <c r="H250" s="3"/>
      <c r="I250" s="5"/>
      <c r="J250" s="7"/>
      <c r="K250" s="7"/>
      <c r="L250" s="8"/>
      <c r="M250" s="9"/>
      <c r="N250" s="5"/>
      <c r="O250" s="5"/>
      <c r="P250" s="4"/>
      <c r="Q250" s="7"/>
      <c r="R250" s="10"/>
      <c r="S250" s="10"/>
    </row>
    <row r="251">
      <c r="A251" s="2"/>
      <c r="B251" s="3"/>
      <c r="C251" s="4"/>
      <c r="D251" s="5"/>
      <c r="E251" s="3"/>
      <c r="F251" s="3"/>
      <c r="G251" s="6"/>
      <c r="H251" s="3"/>
      <c r="I251" s="5"/>
      <c r="J251" s="7"/>
      <c r="K251" s="7"/>
      <c r="L251" s="8"/>
      <c r="M251" s="9"/>
      <c r="N251" s="5"/>
      <c r="O251" s="5"/>
      <c r="P251" s="4"/>
      <c r="Q251" s="7"/>
      <c r="R251" s="10"/>
      <c r="S251" s="10"/>
    </row>
    <row r="252">
      <c r="A252" s="2"/>
      <c r="B252" s="3"/>
      <c r="C252" s="4"/>
      <c r="D252" s="5"/>
      <c r="E252" s="3"/>
      <c r="F252" s="3"/>
      <c r="G252" s="6"/>
      <c r="H252" s="3"/>
      <c r="I252" s="5"/>
      <c r="J252" s="7"/>
      <c r="K252" s="7"/>
      <c r="L252" s="8"/>
      <c r="M252" s="9"/>
      <c r="N252" s="5"/>
      <c r="O252" s="5"/>
      <c r="P252" s="4"/>
      <c r="Q252" s="7"/>
      <c r="R252" s="10"/>
      <c r="S252" s="10"/>
    </row>
    <row r="253">
      <c r="A253" s="2"/>
      <c r="B253" s="3"/>
      <c r="C253" s="4"/>
      <c r="D253" s="5"/>
      <c r="E253" s="3"/>
      <c r="F253" s="3"/>
      <c r="G253" s="6"/>
      <c r="H253" s="3"/>
      <c r="I253" s="5"/>
      <c r="J253" s="7"/>
      <c r="K253" s="7"/>
      <c r="L253" s="8"/>
      <c r="M253" s="9"/>
      <c r="N253" s="5"/>
      <c r="O253" s="5"/>
      <c r="P253" s="4"/>
      <c r="Q253" s="7"/>
      <c r="R253" s="10"/>
      <c r="S253"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3" width="17.0"/>
    <col customWidth="1" min="4" max="4" width="63.57"/>
    <col customWidth="1" min="5" max="5" width="7.71"/>
    <col customWidth="1" min="6" max="6" width="7.43"/>
    <col customWidth="1" min="7" max="7" width="11.86"/>
    <col customWidth="1" min="8" max="8" width="23.29"/>
    <col customWidth="1" min="9" max="9" width="7.71"/>
    <col customWidth="1" min="10" max="11" width="17.43"/>
    <col customWidth="1" min="12" max="12" width="14.0"/>
    <col customWidth="1" min="13" max="13" width="17.0"/>
    <col customWidth="1" min="14" max="15" width="13.29"/>
    <col customWidth="1" min="16" max="16" width="17.0"/>
    <col customWidth="1" min="17" max="17" width="5.57"/>
    <col customWidth="1" min="18" max="18" width="7.43"/>
    <col customWidth="1" min="19" max="19" width="10.71"/>
    <col customWidth="1" min="20" max="25" width="12.86"/>
  </cols>
  <sheetData>
    <row r="1" ht="14.25" customHeight="1">
      <c r="A1" s="11">
        <v>1.0</v>
      </c>
      <c r="B1" s="11">
        <v>2.0</v>
      </c>
      <c r="C1" s="11">
        <v>3.0</v>
      </c>
      <c r="D1" s="11">
        <v>4.0</v>
      </c>
      <c r="E1" s="11">
        <v>6.0</v>
      </c>
      <c r="F1" s="11">
        <v>7.0</v>
      </c>
      <c r="G1" s="11">
        <v>8.0</v>
      </c>
      <c r="H1" s="11">
        <v>9.0</v>
      </c>
      <c r="I1" s="11">
        <v>10.0</v>
      </c>
      <c r="J1" s="11">
        <v>11.0</v>
      </c>
      <c r="K1" s="11">
        <v>12.0</v>
      </c>
      <c r="L1" s="11">
        <v>13.0</v>
      </c>
      <c r="M1" s="11">
        <v>14.0</v>
      </c>
      <c r="N1" s="11">
        <v>15.0</v>
      </c>
      <c r="O1" s="11">
        <v>16.0</v>
      </c>
      <c r="P1" s="11">
        <v>17.0</v>
      </c>
      <c r="Q1" s="11">
        <v>17.0</v>
      </c>
      <c r="R1" s="11">
        <v>18.0</v>
      </c>
      <c r="S1" s="11">
        <v>19.0</v>
      </c>
      <c r="T1" s="11">
        <v>20.0</v>
      </c>
      <c r="U1" s="11">
        <v>21.0</v>
      </c>
      <c r="V1" s="11">
        <v>22.0</v>
      </c>
      <c r="W1" s="11">
        <v>23.0</v>
      </c>
      <c r="X1" s="12"/>
      <c r="Y1" s="12"/>
    </row>
    <row r="2" ht="14.25" customHeight="1">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276</v>
      </c>
      <c r="U2" s="1" t="s">
        <v>277</v>
      </c>
      <c r="V2" s="1" t="s">
        <v>278</v>
      </c>
      <c r="W2" s="1" t="s">
        <v>279</v>
      </c>
      <c r="X2" s="12"/>
      <c r="Y2" s="12"/>
    </row>
    <row r="3" ht="14.25" customHeight="1">
      <c r="A3" s="13" t="s">
        <v>280</v>
      </c>
      <c r="B3" s="14"/>
      <c r="C3" s="14"/>
      <c r="D3" s="14"/>
      <c r="E3" s="14"/>
      <c r="F3" s="14"/>
      <c r="G3" s="14"/>
      <c r="H3" s="15" t="s">
        <v>281</v>
      </c>
      <c r="I3" s="14"/>
      <c r="J3" s="14" t="s">
        <v>282</v>
      </c>
      <c r="K3" s="14" t="s">
        <v>283</v>
      </c>
      <c r="L3" s="14"/>
      <c r="M3" s="14"/>
      <c r="N3" s="14"/>
      <c r="O3" s="14"/>
      <c r="P3" s="14"/>
      <c r="Q3" s="14"/>
      <c r="R3" s="14"/>
      <c r="S3" s="14"/>
      <c r="T3" s="13" t="s">
        <v>284</v>
      </c>
      <c r="U3" s="13" t="s">
        <v>285</v>
      </c>
      <c r="V3" s="13" t="s">
        <v>286</v>
      </c>
      <c r="W3" s="13" t="s">
        <v>287</v>
      </c>
      <c r="X3" s="12"/>
      <c r="Y3" s="12"/>
    </row>
    <row r="4" ht="14.25" customHeight="1">
      <c r="A4" s="12"/>
      <c r="B4" s="12"/>
      <c r="C4" s="12"/>
      <c r="D4" s="12"/>
      <c r="E4" s="12"/>
      <c r="F4" s="12"/>
      <c r="G4" s="12"/>
      <c r="H4" s="12"/>
      <c r="I4" s="12"/>
      <c r="J4" s="12"/>
      <c r="K4" s="12"/>
      <c r="L4" s="12"/>
      <c r="M4" s="12"/>
      <c r="N4" s="12"/>
      <c r="O4" s="12"/>
      <c r="P4" s="12"/>
      <c r="Q4" s="12"/>
      <c r="R4" s="12"/>
      <c r="S4" s="12"/>
      <c r="T4" s="12"/>
      <c r="U4" s="12"/>
      <c r="V4" s="12"/>
      <c r="W4" s="12"/>
      <c r="X4" s="12"/>
      <c r="Y4" s="12"/>
    </row>
    <row r="5" ht="14.25" customHeight="1">
      <c r="A5" s="1" t="s">
        <v>0</v>
      </c>
      <c r="B5" s="1" t="s">
        <v>1</v>
      </c>
      <c r="C5" s="1" t="s">
        <v>2</v>
      </c>
      <c r="D5" s="1" t="s">
        <v>3</v>
      </c>
      <c r="E5" s="1" t="s">
        <v>4</v>
      </c>
      <c r="F5" s="1" t="s">
        <v>5</v>
      </c>
      <c r="G5" s="1" t="s">
        <v>6</v>
      </c>
      <c r="H5" s="1" t="s">
        <v>7</v>
      </c>
      <c r="I5" s="1" t="s">
        <v>8</v>
      </c>
      <c r="J5" s="1" t="s">
        <v>9</v>
      </c>
      <c r="K5" s="1" t="s">
        <v>10</v>
      </c>
      <c r="L5" s="1" t="s">
        <v>11</v>
      </c>
      <c r="M5" s="1" t="s">
        <v>12</v>
      </c>
      <c r="N5" s="1" t="s">
        <v>13</v>
      </c>
      <c r="O5" s="1" t="s">
        <v>14</v>
      </c>
      <c r="P5" s="1" t="s">
        <v>15</v>
      </c>
      <c r="Q5" s="1" t="s">
        <v>16</v>
      </c>
      <c r="R5" s="1" t="s">
        <v>17</v>
      </c>
      <c r="S5" s="1" t="s">
        <v>18</v>
      </c>
      <c r="T5" s="1"/>
      <c r="U5" s="1"/>
      <c r="V5" s="1"/>
      <c r="W5" s="1"/>
      <c r="X5" s="12"/>
      <c r="Y5" s="12"/>
    </row>
    <row r="6" ht="14.25" customHeight="1">
      <c r="A6" s="2" t="s">
        <v>288</v>
      </c>
      <c r="B6" s="3" t="s">
        <v>49</v>
      </c>
      <c r="C6" s="4">
        <v>4.5263740591E12</v>
      </c>
      <c r="D6" s="5" t="s">
        <v>289</v>
      </c>
      <c r="E6" s="3">
        <v>5.0</v>
      </c>
      <c r="F6" s="3">
        <v>750.0</v>
      </c>
      <c r="G6" s="6">
        <v>3750.0</v>
      </c>
      <c r="H6" s="3" t="s">
        <v>94</v>
      </c>
      <c r="I6" s="5" t="s">
        <v>24</v>
      </c>
      <c r="J6" s="7"/>
      <c r="K6" s="7"/>
      <c r="L6" s="8" t="s">
        <v>290</v>
      </c>
      <c r="M6" s="9">
        <v>45964.0</v>
      </c>
      <c r="N6" s="5"/>
      <c r="O6" s="5"/>
      <c r="P6" s="4">
        <v>4.5263740591E12</v>
      </c>
      <c r="Q6" s="7"/>
      <c r="R6" s="10">
        <v>11.6</v>
      </c>
      <c r="S6" s="10" t="s">
        <v>291</v>
      </c>
      <c r="T6" s="16"/>
      <c r="U6" s="12"/>
      <c r="V6" s="12"/>
      <c r="W6" s="12"/>
    </row>
    <row r="7" ht="14.25" customHeight="1">
      <c r="A7" s="2" t="s">
        <v>288</v>
      </c>
      <c r="B7" s="3" t="s">
        <v>49</v>
      </c>
      <c r="C7" s="4">
        <v>4.526374159008E12</v>
      </c>
      <c r="D7" s="5" t="s">
        <v>292</v>
      </c>
      <c r="E7" s="3">
        <v>20.0</v>
      </c>
      <c r="F7" s="3">
        <v>441.0</v>
      </c>
      <c r="G7" s="6">
        <v>8820.0</v>
      </c>
      <c r="H7" s="3" t="s">
        <v>94</v>
      </c>
      <c r="I7" s="5" t="s">
        <v>24</v>
      </c>
      <c r="J7" s="7"/>
      <c r="K7" s="7"/>
      <c r="L7" s="8" t="s">
        <v>290</v>
      </c>
      <c r="M7" s="9">
        <v>45873.0</v>
      </c>
      <c r="N7" s="5"/>
      <c r="O7" s="5"/>
      <c r="P7" s="4">
        <v>4.526374159008E12</v>
      </c>
      <c r="Q7" s="7"/>
      <c r="R7" s="10"/>
      <c r="S7" s="10"/>
      <c r="T7" s="16"/>
      <c r="U7" s="12"/>
      <c r="V7" s="12"/>
      <c r="W7" s="12"/>
    </row>
    <row r="8" ht="14.25" customHeight="1">
      <c r="A8" s="2" t="s">
        <v>293</v>
      </c>
      <c r="B8" s="3" t="s">
        <v>20</v>
      </c>
      <c r="C8" s="4" t="s">
        <v>294</v>
      </c>
      <c r="D8" s="5" t="s">
        <v>295</v>
      </c>
      <c r="E8" s="3">
        <v>20.0</v>
      </c>
      <c r="F8" s="3">
        <v>2867.0</v>
      </c>
      <c r="G8" s="6">
        <v>57340.0</v>
      </c>
      <c r="H8" s="3" t="s">
        <v>23</v>
      </c>
      <c r="I8" s="5" t="s">
        <v>24</v>
      </c>
      <c r="J8" s="7"/>
      <c r="K8" s="7"/>
      <c r="L8" s="8" t="s">
        <v>296</v>
      </c>
      <c r="M8" s="9">
        <v>45973.0</v>
      </c>
      <c r="N8" s="5"/>
      <c r="O8" s="5"/>
      <c r="P8" s="4">
        <v>4.589717877755E12</v>
      </c>
      <c r="Q8" s="7"/>
      <c r="R8" s="10">
        <v>12.9</v>
      </c>
      <c r="S8" s="10" t="s">
        <v>60</v>
      </c>
      <c r="T8" s="16"/>
      <c r="U8" s="12"/>
      <c r="V8" s="12"/>
      <c r="W8" s="12"/>
    </row>
    <row r="9" ht="14.25" customHeight="1">
      <c r="A9" s="2" t="s">
        <v>293</v>
      </c>
      <c r="B9" s="3" t="s">
        <v>20</v>
      </c>
      <c r="C9" s="4" t="s">
        <v>297</v>
      </c>
      <c r="D9" s="5" t="s">
        <v>298</v>
      </c>
      <c r="E9" s="3">
        <v>5.0</v>
      </c>
      <c r="F9" s="3">
        <v>2315.0</v>
      </c>
      <c r="G9" s="6">
        <v>11575.0</v>
      </c>
      <c r="H9" s="3" t="s">
        <v>23</v>
      </c>
      <c r="I9" s="5" t="s">
        <v>24</v>
      </c>
      <c r="J9" s="7"/>
      <c r="K9" s="7"/>
      <c r="L9" s="8" t="s">
        <v>299</v>
      </c>
      <c r="M9" s="9">
        <v>45952.0</v>
      </c>
      <c r="N9" s="5"/>
      <c r="O9" s="5"/>
      <c r="P9" s="4">
        <v>4.589717877694E12</v>
      </c>
      <c r="Q9" s="7"/>
      <c r="R9" s="10">
        <v>24.9</v>
      </c>
      <c r="S9" s="10" t="s">
        <v>26</v>
      </c>
      <c r="T9" s="16"/>
      <c r="U9" s="12"/>
      <c r="V9" s="12"/>
      <c r="W9" s="12"/>
    </row>
    <row r="10" ht="14.25" customHeight="1">
      <c r="A10" s="2" t="s">
        <v>293</v>
      </c>
      <c r="B10" s="3" t="s">
        <v>20</v>
      </c>
      <c r="C10" s="4" t="s">
        <v>300</v>
      </c>
      <c r="D10" s="5" t="s">
        <v>301</v>
      </c>
      <c r="E10" s="3">
        <v>5.0</v>
      </c>
      <c r="F10" s="3">
        <v>2315.0</v>
      </c>
      <c r="G10" s="6">
        <v>11575.0</v>
      </c>
      <c r="H10" s="3" t="s">
        <v>23</v>
      </c>
      <c r="I10" s="5" t="s">
        <v>24</v>
      </c>
      <c r="J10" s="7"/>
      <c r="K10" s="7"/>
      <c r="L10" s="8" t="s">
        <v>299</v>
      </c>
      <c r="M10" s="9">
        <v>45952.0</v>
      </c>
      <c r="N10" s="5"/>
      <c r="O10" s="5"/>
      <c r="P10" s="4">
        <v>4.589717877717E12</v>
      </c>
      <c r="Q10" s="7"/>
      <c r="R10" s="10"/>
      <c r="S10" s="10"/>
      <c r="T10" s="16"/>
      <c r="U10" s="12"/>
      <c r="V10" s="12"/>
      <c r="W10" s="12"/>
    </row>
    <row r="11" ht="14.25" customHeight="1">
      <c r="A11" s="2" t="s">
        <v>293</v>
      </c>
      <c r="B11" s="3" t="s">
        <v>40</v>
      </c>
      <c r="C11" s="4" t="s">
        <v>41</v>
      </c>
      <c r="D11" s="5" t="s">
        <v>42</v>
      </c>
      <c r="E11" s="3">
        <v>20.0</v>
      </c>
      <c r="F11" s="3">
        <v>1400.0</v>
      </c>
      <c r="G11" s="6">
        <v>28000.0</v>
      </c>
      <c r="H11" s="3" t="s">
        <v>23</v>
      </c>
      <c r="I11" s="5" t="s">
        <v>24</v>
      </c>
      <c r="J11" s="7"/>
      <c r="K11" s="7"/>
      <c r="L11" s="8" t="s">
        <v>299</v>
      </c>
      <c r="M11" s="9">
        <v>45950.0</v>
      </c>
      <c r="N11" s="5"/>
      <c r="O11" s="5"/>
      <c r="P11" s="4">
        <v>4.580490000408E12</v>
      </c>
      <c r="Q11" s="7"/>
      <c r="R11" s="10"/>
      <c r="S11" s="10"/>
      <c r="T11" s="16"/>
      <c r="U11" s="12"/>
      <c r="V11" s="12"/>
      <c r="W11" s="12"/>
    </row>
    <row r="12" ht="14.25" customHeight="1">
      <c r="A12" s="2" t="s">
        <v>302</v>
      </c>
      <c r="B12" s="3" t="s">
        <v>40</v>
      </c>
      <c r="C12" s="4" t="s">
        <v>41</v>
      </c>
      <c r="D12" s="5" t="s">
        <v>42</v>
      </c>
      <c r="E12" s="3">
        <v>4.0</v>
      </c>
      <c r="F12" s="3">
        <v>1400.0</v>
      </c>
      <c r="G12" s="6">
        <v>5600.0</v>
      </c>
      <c r="H12" s="3" t="s">
        <v>23</v>
      </c>
      <c r="I12" s="5" t="s">
        <v>24</v>
      </c>
      <c r="J12" s="7"/>
      <c r="K12" s="7"/>
      <c r="L12" s="8" t="s">
        <v>299</v>
      </c>
      <c r="M12" s="9">
        <v>45973.0</v>
      </c>
      <c r="N12" s="5"/>
      <c r="O12" s="5"/>
      <c r="P12" s="4">
        <v>4.580490000408E12</v>
      </c>
      <c r="Q12" s="7"/>
      <c r="R12" s="10"/>
      <c r="S12" s="10"/>
      <c r="T12" s="16"/>
      <c r="U12" s="12"/>
      <c r="V12" s="12"/>
      <c r="W12" s="12"/>
    </row>
    <row r="13" ht="14.25" customHeight="1">
      <c r="A13" s="2" t="s">
        <v>293</v>
      </c>
      <c r="B13" s="3" t="s">
        <v>20</v>
      </c>
      <c r="C13" s="4" t="s">
        <v>303</v>
      </c>
      <c r="D13" s="5" t="s">
        <v>304</v>
      </c>
      <c r="E13" s="3">
        <v>5.0</v>
      </c>
      <c r="F13" s="3">
        <v>2646.0</v>
      </c>
      <c r="G13" s="6">
        <v>13230.0</v>
      </c>
      <c r="H13" s="3" t="s">
        <v>23</v>
      </c>
      <c r="I13" s="5" t="s">
        <v>24</v>
      </c>
      <c r="J13" s="7"/>
      <c r="K13" s="7"/>
      <c r="L13" s="8" t="s">
        <v>299</v>
      </c>
      <c r="M13" s="9">
        <v>45952.0</v>
      </c>
      <c r="N13" s="5"/>
      <c r="O13" s="5"/>
      <c r="P13" s="4">
        <v>4.58971787767E12</v>
      </c>
      <c r="Q13" s="7"/>
      <c r="R13" s="10"/>
      <c r="S13" s="10"/>
      <c r="T13" s="16"/>
      <c r="U13" s="12"/>
      <c r="V13" s="12"/>
      <c r="W13" s="12"/>
    </row>
    <row r="14" ht="14.25" customHeight="1">
      <c r="A14" s="2" t="s">
        <v>293</v>
      </c>
      <c r="B14" s="3" t="s">
        <v>43</v>
      </c>
      <c r="C14" s="4" t="s">
        <v>305</v>
      </c>
      <c r="D14" s="5" t="s">
        <v>306</v>
      </c>
      <c r="E14" s="3">
        <v>1.0</v>
      </c>
      <c r="F14" s="3">
        <v>4961.0</v>
      </c>
      <c r="G14" s="6">
        <v>4961.0</v>
      </c>
      <c r="H14" s="3" t="s">
        <v>307</v>
      </c>
      <c r="I14" s="5" t="s">
        <v>31</v>
      </c>
      <c r="J14" s="7"/>
      <c r="K14" s="7"/>
      <c r="L14" s="8" t="s">
        <v>299</v>
      </c>
      <c r="M14" s="9">
        <v>45980.0</v>
      </c>
      <c r="N14" s="17" t="s">
        <v>308</v>
      </c>
      <c r="O14" s="5"/>
      <c r="P14" s="4">
        <v>4.562160139847E12</v>
      </c>
      <c r="Q14" s="7"/>
      <c r="R14" s="10"/>
      <c r="S14" s="10"/>
      <c r="T14" s="16"/>
      <c r="U14" s="12"/>
      <c r="V14" s="18"/>
      <c r="W14" s="12"/>
    </row>
    <row r="15" ht="14.25" customHeight="1">
      <c r="A15" s="2" t="s">
        <v>293</v>
      </c>
      <c r="B15" s="3" t="s">
        <v>43</v>
      </c>
      <c r="C15" s="4" t="s">
        <v>254</v>
      </c>
      <c r="D15" s="5" t="s">
        <v>255</v>
      </c>
      <c r="E15" s="3">
        <v>10.0</v>
      </c>
      <c r="F15" s="3">
        <v>549.0</v>
      </c>
      <c r="G15" s="6">
        <v>5490.0</v>
      </c>
      <c r="H15" s="3" t="s">
        <v>23</v>
      </c>
      <c r="I15" s="5" t="s">
        <v>24</v>
      </c>
      <c r="J15" s="7"/>
      <c r="K15" s="7"/>
      <c r="L15" s="8" t="s">
        <v>309</v>
      </c>
      <c r="M15" s="9">
        <v>45979.0</v>
      </c>
      <c r="N15" s="5"/>
      <c r="O15" s="5"/>
      <c r="P15" s="4">
        <v>4.562160139441E12</v>
      </c>
      <c r="Q15" s="7"/>
      <c r="R15" s="10">
        <v>12.7</v>
      </c>
      <c r="S15" s="10" t="s">
        <v>310</v>
      </c>
      <c r="T15" s="16"/>
      <c r="U15" s="12"/>
      <c r="V15" s="12"/>
      <c r="W15" s="12"/>
    </row>
    <row r="16" ht="14.25" customHeight="1">
      <c r="A16" s="2" t="s">
        <v>293</v>
      </c>
      <c r="B16" s="3" t="s">
        <v>49</v>
      </c>
      <c r="C16" s="4">
        <v>4.52637437038E12</v>
      </c>
      <c r="D16" s="5" t="s">
        <v>311</v>
      </c>
      <c r="E16" s="3">
        <v>5.0</v>
      </c>
      <c r="F16" s="3">
        <v>1985.0</v>
      </c>
      <c r="G16" s="6">
        <v>9925.0</v>
      </c>
      <c r="H16" s="3" t="s">
        <v>23</v>
      </c>
      <c r="I16" s="5" t="s">
        <v>24</v>
      </c>
      <c r="J16" s="7"/>
      <c r="K16" s="7"/>
      <c r="L16" s="8" t="s">
        <v>309</v>
      </c>
      <c r="M16" s="9">
        <v>45987.0</v>
      </c>
      <c r="N16" s="5"/>
      <c r="O16" s="5"/>
      <c r="P16" s="4">
        <v>4.52637437038E12</v>
      </c>
      <c r="Q16" s="7"/>
      <c r="R16" s="10"/>
      <c r="S16" s="10"/>
      <c r="T16" s="16"/>
      <c r="U16" s="12"/>
      <c r="V16" s="12"/>
      <c r="W16" s="12"/>
    </row>
    <row r="17" ht="14.25" customHeight="1">
      <c r="A17" s="2" t="s">
        <v>293</v>
      </c>
      <c r="B17" s="3" t="s">
        <v>46</v>
      </c>
      <c r="C17" s="4" t="s">
        <v>312</v>
      </c>
      <c r="D17" s="5" t="s">
        <v>313</v>
      </c>
      <c r="E17" s="3">
        <v>4.0</v>
      </c>
      <c r="F17" s="3">
        <v>610.0</v>
      </c>
      <c r="G17" s="6">
        <v>2440.0</v>
      </c>
      <c r="H17" s="3" t="s">
        <v>23</v>
      </c>
      <c r="I17" s="5" t="s">
        <v>24</v>
      </c>
      <c r="J17" s="7"/>
      <c r="K17" s="7"/>
      <c r="L17" s="8" t="s">
        <v>309</v>
      </c>
      <c r="M17" s="9">
        <v>45988.0</v>
      </c>
      <c r="N17" s="5"/>
      <c r="O17" s="5"/>
      <c r="P17" s="4">
        <v>4.562309510964E12</v>
      </c>
      <c r="Q17" s="7"/>
      <c r="R17" s="10"/>
      <c r="S17" s="10"/>
      <c r="T17" s="16"/>
      <c r="U17" s="12"/>
      <c r="V17" s="12"/>
      <c r="W17" s="12"/>
    </row>
    <row r="18" ht="14.25" customHeight="1">
      <c r="A18" s="2" t="s">
        <v>288</v>
      </c>
      <c r="B18" s="3" t="s">
        <v>49</v>
      </c>
      <c r="C18" s="4">
        <v>4.526374159008E12</v>
      </c>
      <c r="D18" s="5" t="s">
        <v>292</v>
      </c>
      <c r="E18" s="3">
        <v>10.0</v>
      </c>
      <c r="F18" s="3">
        <v>441.0</v>
      </c>
      <c r="G18" s="6">
        <v>4410.0</v>
      </c>
      <c r="H18" s="3" t="s">
        <v>94</v>
      </c>
      <c r="I18" s="5" t="s">
        <v>24</v>
      </c>
      <c r="J18" s="7"/>
      <c r="K18" s="7"/>
      <c r="L18" s="8" t="s">
        <v>309</v>
      </c>
      <c r="M18" s="9">
        <v>45873.0</v>
      </c>
      <c r="N18" s="5"/>
      <c r="O18" s="5"/>
      <c r="P18" s="4">
        <v>4.526374159008E12</v>
      </c>
      <c r="Q18" s="7"/>
      <c r="R18" s="10"/>
      <c r="S18" s="10"/>
      <c r="T18" s="16"/>
      <c r="U18" s="12"/>
      <c r="V18" s="12"/>
      <c r="W18" s="12"/>
    </row>
    <row r="19" ht="14.25" customHeight="1">
      <c r="A19" s="2" t="s">
        <v>293</v>
      </c>
      <c r="B19" s="3" t="s">
        <v>43</v>
      </c>
      <c r="C19" s="4" t="s">
        <v>251</v>
      </c>
      <c r="D19" s="5" t="s">
        <v>252</v>
      </c>
      <c r="E19" s="3">
        <v>20.0</v>
      </c>
      <c r="F19" s="3">
        <v>549.0</v>
      </c>
      <c r="G19" s="6">
        <v>10980.0</v>
      </c>
      <c r="H19" s="3" t="s">
        <v>23</v>
      </c>
      <c r="I19" s="5" t="s">
        <v>24</v>
      </c>
      <c r="J19" s="7"/>
      <c r="K19" s="7"/>
      <c r="L19" s="8" t="s">
        <v>314</v>
      </c>
      <c r="M19" s="9">
        <v>45979.0</v>
      </c>
      <c r="N19" s="5"/>
      <c r="O19" s="5"/>
      <c r="P19" s="4">
        <v>4.562160139458E12</v>
      </c>
      <c r="Q19" s="7"/>
      <c r="R19" s="10">
        <v>15.6</v>
      </c>
      <c r="S19" s="10" t="s">
        <v>310</v>
      </c>
      <c r="T19" s="16"/>
      <c r="U19" s="12"/>
      <c r="V19" s="12"/>
      <c r="W19" s="12"/>
    </row>
    <row r="20" ht="14.25" customHeight="1">
      <c r="A20" s="2" t="s">
        <v>293</v>
      </c>
      <c r="B20" s="3" t="s">
        <v>43</v>
      </c>
      <c r="C20" s="4" t="s">
        <v>254</v>
      </c>
      <c r="D20" s="5" t="s">
        <v>255</v>
      </c>
      <c r="E20" s="3">
        <v>10.0</v>
      </c>
      <c r="F20" s="3">
        <v>549.0</v>
      </c>
      <c r="G20" s="6">
        <v>5490.0</v>
      </c>
      <c r="H20" s="3" t="s">
        <v>23</v>
      </c>
      <c r="I20" s="5" t="s">
        <v>24</v>
      </c>
      <c r="J20" s="7"/>
      <c r="K20" s="7"/>
      <c r="L20" s="8" t="s">
        <v>314</v>
      </c>
      <c r="M20" s="9">
        <v>45979.0</v>
      </c>
      <c r="N20" s="5"/>
      <c r="O20" s="5"/>
      <c r="P20" s="4">
        <v>4.562160139441E12</v>
      </c>
      <c r="Q20" s="7"/>
      <c r="R20" s="10"/>
      <c r="S20" s="10"/>
      <c r="T20" s="16"/>
      <c r="U20" s="12"/>
      <c r="V20" s="12"/>
      <c r="W20" s="12"/>
    </row>
    <row r="21" ht="14.25" customHeight="1">
      <c r="A21" s="2" t="s">
        <v>293</v>
      </c>
      <c r="B21" s="3" t="s">
        <v>49</v>
      </c>
      <c r="C21" s="4">
        <v>4.526374570186E12</v>
      </c>
      <c r="D21" s="5" t="s">
        <v>315</v>
      </c>
      <c r="E21" s="3">
        <v>5.0</v>
      </c>
      <c r="F21" s="3">
        <v>2095.0</v>
      </c>
      <c r="G21" s="6">
        <v>10475.0</v>
      </c>
      <c r="H21" s="3" t="s">
        <v>23</v>
      </c>
      <c r="I21" s="5" t="s">
        <v>24</v>
      </c>
      <c r="J21" s="7"/>
      <c r="K21" s="7"/>
      <c r="L21" s="8" t="s">
        <v>314</v>
      </c>
      <c r="M21" s="9">
        <v>45988.0</v>
      </c>
      <c r="N21" s="5"/>
      <c r="O21" s="5"/>
      <c r="P21" s="4">
        <v>4.526374570186E12</v>
      </c>
      <c r="Q21" s="7"/>
      <c r="R21" s="10"/>
      <c r="S21" s="10"/>
      <c r="T21" s="16"/>
      <c r="U21" s="12"/>
      <c r="V21" s="12"/>
      <c r="W21" s="12"/>
    </row>
    <row r="22" ht="14.25" customHeight="1">
      <c r="A22" s="2" t="s">
        <v>293</v>
      </c>
      <c r="B22" s="3" t="s">
        <v>49</v>
      </c>
      <c r="C22" s="4">
        <v>4.526374570193E12</v>
      </c>
      <c r="D22" s="5" t="s">
        <v>316</v>
      </c>
      <c r="E22" s="3">
        <v>5.0</v>
      </c>
      <c r="F22" s="3">
        <v>2095.0</v>
      </c>
      <c r="G22" s="6">
        <v>10475.0</v>
      </c>
      <c r="H22" s="3" t="s">
        <v>23</v>
      </c>
      <c r="I22" s="5" t="s">
        <v>24</v>
      </c>
      <c r="J22" s="7"/>
      <c r="K22" s="7"/>
      <c r="L22" s="8" t="s">
        <v>314</v>
      </c>
      <c r="M22" s="9">
        <v>45988.0</v>
      </c>
      <c r="N22" s="5"/>
      <c r="O22" s="5"/>
      <c r="P22" s="4">
        <v>4.526374570193E12</v>
      </c>
      <c r="Q22" s="7"/>
      <c r="R22" s="10"/>
      <c r="S22" s="10"/>
      <c r="T22" s="16"/>
      <c r="U22" s="12"/>
      <c r="V22" s="12"/>
      <c r="W22" s="12"/>
    </row>
    <row r="23" ht="14.25" customHeight="1">
      <c r="A23" s="2" t="s">
        <v>293</v>
      </c>
      <c r="B23" s="3" t="s">
        <v>40</v>
      </c>
      <c r="C23" s="4" t="s">
        <v>239</v>
      </c>
      <c r="D23" s="5" t="s">
        <v>240</v>
      </c>
      <c r="E23" s="3">
        <v>4.0</v>
      </c>
      <c r="F23" s="3">
        <v>1270.0</v>
      </c>
      <c r="G23" s="6">
        <v>5080.0</v>
      </c>
      <c r="H23" s="3" t="s">
        <v>23</v>
      </c>
      <c r="I23" s="5" t="s">
        <v>24</v>
      </c>
      <c r="J23" s="7"/>
      <c r="K23" s="7"/>
      <c r="L23" s="8" t="s">
        <v>317</v>
      </c>
      <c r="M23" s="9">
        <v>45964.0</v>
      </c>
      <c r="N23" s="5"/>
      <c r="O23" s="5"/>
      <c r="P23" s="4">
        <v>4.580490000354E12</v>
      </c>
      <c r="Q23" s="7"/>
      <c r="R23" s="5">
        <v>10.0</v>
      </c>
      <c r="S23" s="10" t="s">
        <v>318</v>
      </c>
      <c r="T23" s="16"/>
      <c r="U23" s="12"/>
      <c r="V23" s="12"/>
      <c r="W23" s="12"/>
    </row>
    <row r="24" ht="14.25" customHeight="1">
      <c r="A24" s="2" t="s">
        <v>293</v>
      </c>
      <c r="B24" s="3" t="s">
        <v>43</v>
      </c>
      <c r="C24" s="4" t="s">
        <v>319</v>
      </c>
      <c r="D24" s="5" t="s">
        <v>320</v>
      </c>
      <c r="E24" s="3">
        <v>10.0</v>
      </c>
      <c r="F24" s="3">
        <v>1610.0</v>
      </c>
      <c r="G24" s="6">
        <v>16100.0</v>
      </c>
      <c r="H24" s="3" t="s">
        <v>23</v>
      </c>
      <c r="I24" s="5" t="s">
        <v>24</v>
      </c>
      <c r="J24" s="7"/>
      <c r="K24" s="7"/>
      <c r="L24" s="8" t="s">
        <v>317</v>
      </c>
      <c r="M24" s="9">
        <v>45988.0</v>
      </c>
      <c r="N24" s="5"/>
      <c r="O24" s="5"/>
      <c r="P24" s="4">
        <v>4.562160139649E12</v>
      </c>
      <c r="Q24" s="7"/>
      <c r="R24" s="5"/>
      <c r="S24" s="5"/>
      <c r="T24" s="16"/>
      <c r="U24" s="12"/>
      <c r="V24" s="12"/>
      <c r="W24" s="12"/>
    </row>
    <row r="25" ht="14.25" customHeight="1">
      <c r="A25" s="2" t="s">
        <v>293</v>
      </c>
      <c r="B25" s="3" t="s">
        <v>40</v>
      </c>
      <c r="C25" s="4" t="s">
        <v>239</v>
      </c>
      <c r="D25" s="5" t="s">
        <v>240</v>
      </c>
      <c r="E25" s="3">
        <v>46.0</v>
      </c>
      <c r="F25" s="3">
        <v>1270.0</v>
      </c>
      <c r="G25" s="6">
        <v>58420.0</v>
      </c>
      <c r="H25" s="3" t="s">
        <v>23</v>
      </c>
      <c r="I25" s="5" t="s">
        <v>24</v>
      </c>
      <c r="J25" s="7"/>
      <c r="K25" s="7"/>
      <c r="L25" s="8" t="s">
        <v>321</v>
      </c>
      <c r="M25" s="9">
        <v>45964.0</v>
      </c>
      <c r="N25" s="5"/>
      <c r="O25" s="5"/>
      <c r="P25" s="4">
        <v>4.580490000354E12</v>
      </c>
      <c r="Q25" s="7"/>
      <c r="R25" s="5">
        <v>24.6</v>
      </c>
      <c r="S25" s="10" t="s">
        <v>257</v>
      </c>
      <c r="T25" s="16"/>
      <c r="U25" s="12"/>
      <c r="V25" s="12"/>
      <c r="W25" s="12"/>
    </row>
    <row r="26" ht="14.25" customHeight="1">
      <c r="A26" s="2" t="s">
        <v>293</v>
      </c>
      <c r="B26" s="3" t="s">
        <v>179</v>
      </c>
      <c r="C26" s="4">
        <v>1277.0</v>
      </c>
      <c r="D26" s="5" t="s">
        <v>322</v>
      </c>
      <c r="E26" s="3">
        <v>4.0</v>
      </c>
      <c r="F26" s="3">
        <v>1680.0</v>
      </c>
      <c r="G26" s="6">
        <v>6720.0</v>
      </c>
      <c r="H26" s="3" t="s">
        <v>23</v>
      </c>
      <c r="I26" s="5" t="s">
        <v>24</v>
      </c>
      <c r="J26" s="7"/>
      <c r="K26" s="7"/>
      <c r="L26" s="8" t="s">
        <v>323</v>
      </c>
      <c r="M26" s="9">
        <v>45992.0</v>
      </c>
      <c r="N26" s="5"/>
      <c r="O26" s="5"/>
      <c r="P26" s="4">
        <v>4.571324243276E12</v>
      </c>
      <c r="Q26" s="7"/>
      <c r="R26" s="10">
        <v>24.7</v>
      </c>
      <c r="S26" s="10" t="s">
        <v>324</v>
      </c>
      <c r="T26" s="16"/>
      <c r="U26" s="12"/>
      <c r="V26" s="12"/>
      <c r="W26" s="12"/>
    </row>
    <row r="27" ht="14.25" customHeight="1">
      <c r="A27" s="2" t="s">
        <v>293</v>
      </c>
      <c r="B27" s="3" t="s">
        <v>179</v>
      </c>
      <c r="C27" s="4">
        <v>1135.0</v>
      </c>
      <c r="D27" s="5" t="s">
        <v>325</v>
      </c>
      <c r="E27" s="3">
        <v>1.0</v>
      </c>
      <c r="F27" s="3">
        <v>6000.0</v>
      </c>
      <c r="G27" s="6">
        <v>6000.0</v>
      </c>
      <c r="H27" s="3" t="s">
        <v>23</v>
      </c>
      <c r="I27" s="5" t="s">
        <v>31</v>
      </c>
      <c r="J27" s="7"/>
      <c r="K27" s="7"/>
      <c r="L27" s="8" t="s">
        <v>323</v>
      </c>
      <c r="M27" s="9">
        <v>45992.0</v>
      </c>
      <c r="N27" s="5"/>
      <c r="O27" s="5"/>
      <c r="P27" s="4">
        <v>4.57132424118E12</v>
      </c>
      <c r="Q27" s="7"/>
      <c r="R27" s="10"/>
      <c r="S27" s="10"/>
      <c r="T27" s="16"/>
      <c r="U27" s="12"/>
      <c r="V27" s="12"/>
      <c r="W27" s="12"/>
    </row>
    <row r="28" ht="14.25" customHeight="1">
      <c r="A28" s="2" t="s">
        <v>293</v>
      </c>
      <c r="B28" s="3" t="s">
        <v>179</v>
      </c>
      <c r="C28" s="4">
        <v>1262.0</v>
      </c>
      <c r="D28" s="5" t="s">
        <v>326</v>
      </c>
      <c r="E28" s="3">
        <v>1.0</v>
      </c>
      <c r="F28" s="3">
        <v>3960.0</v>
      </c>
      <c r="G28" s="6">
        <v>3960.0</v>
      </c>
      <c r="H28" s="3" t="s">
        <v>23</v>
      </c>
      <c r="I28" s="5" t="s">
        <v>24</v>
      </c>
      <c r="J28" s="7"/>
      <c r="K28" s="7"/>
      <c r="L28" s="8" t="s">
        <v>323</v>
      </c>
      <c r="M28" s="9">
        <v>45992.0</v>
      </c>
      <c r="N28" s="5"/>
      <c r="O28" s="5"/>
      <c r="P28" s="4">
        <v>4.571324243054E12</v>
      </c>
      <c r="Q28" s="7"/>
      <c r="R28" s="10"/>
      <c r="S28" s="10"/>
      <c r="T28" s="16"/>
      <c r="U28" s="12"/>
      <c r="V28" s="12"/>
      <c r="W28" s="12"/>
    </row>
    <row r="29" ht="14.25" customHeight="1">
      <c r="A29" s="2" t="s">
        <v>293</v>
      </c>
      <c r="B29" s="3" t="s">
        <v>179</v>
      </c>
      <c r="C29" s="4">
        <v>1151.0</v>
      </c>
      <c r="D29" s="5" t="s">
        <v>327</v>
      </c>
      <c r="E29" s="3">
        <v>4.0</v>
      </c>
      <c r="F29" s="3">
        <v>2100.0</v>
      </c>
      <c r="G29" s="6">
        <v>8400.0</v>
      </c>
      <c r="H29" s="3" t="s">
        <v>23</v>
      </c>
      <c r="I29" s="5" t="s">
        <v>31</v>
      </c>
      <c r="J29" s="7"/>
      <c r="K29" s="7"/>
      <c r="L29" s="8" t="s">
        <v>323</v>
      </c>
      <c r="M29" s="9">
        <v>45992.0</v>
      </c>
      <c r="N29" s="5"/>
      <c r="O29" s="5"/>
      <c r="P29" s="4">
        <v>4.57132424134E12</v>
      </c>
      <c r="Q29" s="7"/>
      <c r="R29" s="10"/>
      <c r="S29" s="10"/>
      <c r="T29" s="16"/>
      <c r="U29" s="12"/>
      <c r="V29" s="12"/>
      <c r="W29" s="12"/>
    </row>
    <row r="30" ht="14.25" customHeight="1">
      <c r="A30" s="2" t="s">
        <v>293</v>
      </c>
      <c r="B30" s="3" t="s">
        <v>49</v>
      </c>
      <c r="C30" s="4">
        <v>4.52637437038E12</v>
      </c>
      <c r="D30" s="5" t="s">
        <v>311</v>
      </c>
      <c r="E30" s="3">
        <v>10.0</v>
      </c>
      <c r="F30" s="3">
        <v>1985.0</v>
      </c>
      <c r="G30" s="6">
        <v>19850.0</v>
      </c>
      <c r="H30" s="3" t="s">
        <v>23</v>
      </c>
      <c r="I30" s="5" t="s">
        <v>24</v>
      </c>
      <c r="J30" s="7"/>
      <c r="K30" s="7"/>
      <c r="L30" s="8" t="s">
        <v>323</v>
      </c>
      <c r="M30" s="9">
        <v>45993.0</v>
      </c>
      <c r="N30" s="5"/>
      <c r="O30" s="5"/>
      <c r="P30" s="4">
        <v>4.52637437038E12</v>
      </c>
      <c r="Q30" s="7"/>
      <c r="R30" s="10"/>
      <c r="S30" s="10"/>
      <c r="T30" s="16"/>
      <c r="U30" s="12"/>
      <c r="V30" s="12"/>
      <c r="W30" s="12"/>
    </row>
    <row r="31" ht="14.25" customHeight="1">
      <c r="A31" s="2" t="s">
        <v>288</v>
      </c>
      <c r="B31" s="3" t="s">
        <v>49</v>
      </c>
      <c r="C31" s="4">
        <v>4.526374159008E12</v>
      </c>
      <c r="D31" s="5" t="s">
        <v>292</v>
      </c>
      <c r="E31" s="3">
        <v>15.0</v>
      </c>
      <c r="F31" s="3">
        <v>441.0</v>
      </c>
      <c r="G31" s="6">
        <v>6615.0</v>
      </c>
      <c r="H31" s="3" t="s">
        <v>94</v>
      </c>
      <c r="I31" s="5" t="s">
        <v>24</v>
      </c>
      <c r="J31" s="7"/>
      <c r="K31" s="7"/>
      <c r="L31" s="8" t="s">
        <v>323</v>
      </c>
      <c r="M31" s="9">
        <v>45873.0</v>
      </c>
      <c r="N31" s="5"/>
      <c r="O31" s="5"/>
      <c r="P31" s="4">
        <v>4.526374159008E12</v>
      </c>
      <c r="Q31" s="7"/>
      <c r="R31" s="10"/>
      <c r="S31" s="10"/>
      <c r="T31" s="16"/>
      <c r="U31" s="12"/>
      <c r="V31" s="12"/>
      <c r="W31" s="12"/>
    </row>
    <row r="32" ht="14.25" customHeight="1">
      <c r="A32" s="2" t="s">
        <v>293</v>
      </c>
      <c r="B32" s="3" t="s">
        <v>46</v>
      </c>
      <c r="C32" s="4" t="s">
        <v>328</v>
      </c>
      <c r="D32" s="5" t="s">
        <v>329</v>
      </c>
      <c r="E32" s="3">
        <v>2.0</v>
      </c>
      <c r="F32" s="3">
        <v>7200.0</v>
      </c>
      <c r="G32" s="6">
        <v>14400.0</v>
      </c>
      <c r="H32" s="3" t="s">
        <v>23</v>
      </c>
      <c r="I32" s="5" t="s">
        <v>24</v>
      </c>
      <c r="J32" s="7"/>
      <c r="K32" s="7"/>
      <c r="L32" s="8" t="s">
        <v>330</v>
      </c>
      <c r="M32" s="9">
        <v>45996.0</v>
      </c>
      <c r="N32" s="5"/>
      <c r="O32" s="5"/>
      <c r="P32" s="4">
        <v>4.562309513804E12</v>
      </c>
      <c r="Q32" s="7"/>
      <c r="R32" s="10">
        <v>15.7</v>
      </c>
      <c r="S32" s="10" t="s">
        <v>331</v>
      </c>
      <c r="T32" s="16"/>
      <c r="U32" s="12"/>
      <c r="V32" s="12"/>
      <c r="W32" s="12"/>
    </row>
    <row r="33" ht="14.25" customHeight="1">
      <c r="A33" s="2" t="s">
        <v>293</v>
      </c>
      <c r="B33" s="3" t="s">
        <v>179</v>
      </c>
      <c r="C33" s="4">
        <v>1503.0</v>
      </c>
      <c r="D33" s="5" t="s">
        <v>332</v>
      </c>
      <c r="E33" s="3">
        <v>2.0</v>
      </c>
      <c r="F33" s="3">
        <v>7020.0</v>
      </c>
      <c r="G33" s="6">
        <v>14040.0</v>
      </c>
      <c r="H33" s="3" t="s">
        <v>23</v>
      </c>
      <c r="I33" s="5" t="s">
        <v>24</v>
      </c>
      <c r="J33" s="7"/>
      <c r="K33" s="7"/>
      <c r="L33" s="8" t="s">
        <v>330</v>
      </c>
      <c r="M33" s="9">
        <v>45996.0</v>
      </c>
      <c r="N33" s="5" t="s">
        <v>333</v>
      </c>
      <c r="O33" s="5"/>
      <c r="P33" s="4">
        <v>4.57132424655E12</v>
      </c>
      <c r="Q33" s="7"/>
      <c r="R33" s="10"/>
      <c r="S33" s="10"/>
      <c r="T33" s="16"/>
      <c r="U33" s="12"/>
      <c r="V33" s="12"/>
      <c r="W33" s="12"/>
    </row>
    <row r="34" ht="14.25" customHeight="1">
      <c r="A34" s="2" t="s">
        <v>293</v>
      </c>
      <c r="B34" s="3" t="s">
        <v>43</v>
      </c>
      <c r="C34" s="4" t="s">
        <v>152</v>
      </c>
      <c r="D34" s="5" t="s">
        <v>153</v>
      </c>
      <c r="E34" s="3">
        <v>10.0</v>
      </c>
      <c r="F34" s="3">
        <v>182.0</v>
      </c>
      <c r="G34" s="6">
        <v>1820.0</v>
      </c>
      <c r="H34" s="3" t="s">
        <v>94</v>
      </c>
      <c r="I34" s="5" t="s">
        <v>24</v>
      </c>
      <c r="J34" s="7"/>
      <c r="K34" s="7"/>
      <c r="L34" s="8" t="s">
        <v>330</v>
      </c>
      <c r="M34" s="9">
        <v>45975.0</v>
      </c>
      <c r="N34" s="5"/>
      <c r="O34" s="5"/>
      <c r="P34" s="4">
        <v>4.571165966891E12</v>
      </c>
      <c r="Q34" s="7"/>
      <c r="R34" s="10"/>
      <c r="S34" s="10"/>
      <c r="T34" s="16"/>
      <c r="U34" s="12"/>
      <c r="V34" s="12"/>
      <c r="W34" s="12"/>
    </row>
    <row r="35" ht="14.25" customHeight="1">
      <c r="A35" s="2" t="s">
        <v>293</v>
      </c>
      <c r="B35" s="3" t="s">
        <v>179</v>
      </c>
      <c r="C35" s="4">
        <v>1508.0</v>
      </c>
      <c r="D35" s="5" t="s">
        <v>334</v>
      </c>
      <c r="E35" s="3">
        <v>2.0</v>
      </c>
      <c r="F35" s="3">
        <v>20520.0</v>
      </c>
      <c r="G35" s="6">
        <v>41040.0</v>
      </c>
      <c r="H35" s="3" t="s">
        <v>23</v>
      </c>
      <c r="I35" s="5" t="s">
        <v>31</v>
      </c>
      <c r="J35" s="7"/>
      <c r="K35" s="7"/>
      <c r="L35" s="8" t="s">
        <v>335</v>
      </c>
      <c r="M35" s="9">
        <v>45996.0</v>
      </c>
      <c r="N35" s="5" t="s">
        <v>333</v>
      </c>
      <c r="O35" s="5"/>
      <c r="P35" s="4">
        <v>4.571324246628E12</v>
      </c>
      <c r="Q35" s="7"/>
      <c r="R35" s="10">
        <v>20.4</v>
      </c>
      <c r="S35" s="10" t="s">
        <v>336</v>
      </c>
      <c r="T35" s="16"/>
      <c r="U35" s="12"/>
      <c r="V35" s="12"/>
      <c r="W35" s="12"/>
    </row>
    <row r="36" ht="14.25" customHeight="1">
      <c r="A36" s="2" t="s">
        <v>288</v>
      </c>
      <c r="B36" s="3" t="s">
        <v>49</v>
      </c>
      <c r="C36" s="4">
        <v>4.526374013232E12</v>
      </c>
      <c r="D36" s="5" t="s">
        <v>337</v>
      </c>
      <c r="E36" s="3">
        <v>3.0</v>
      </c>
      <c r="F36" s="3">
        <v>607.0</v>
      </c>
      <c r="G36" s="6">
        <v>1821.0</v>
      </c>
      <c r="H36" s="3" t="s">
        <v>23</v>
      </c>
      <c r="I36" s="5" t="s">
        <v>24</v>
      </c>
      <c r="J36" s="7"/>
      <c r="K36" s="7"/>
      <c r="L36" s="8" t="s">
        <v>335</v>
      </c>
      <c r="M36" s="9">
        <v>45996.0</v>
      </c>
      <c r="N36" s="5"/>
      <c r="O36" s="5"/>
      <c r="P36" s="4">
        <v>4.526374013232E12</v>
      </c>
      <c r="Q36" s="7"/>
      <c r="R36" s="10"/>
      <c r="S36" s="10"/>
      <c r="T36" s="16"/>
      <c r="U36" s="12"/>
      <c r="V36" s="12"/>
      <c r="W36" s="12"/>
    </row>
    <row r="37" ht="14.25" customHeight="1">
      <c r="A37" s="2" t="s">
        <v>288</v>
      </c>
      <c r="B37" s="3" t="s">
        <v>49</v>
      </c>
      <c r="C37" s="4">
        <v>4.526374913051E12</v>
      </c>
      <c r="D37" s="5" t="s">
        <v>338</v>
      </c>
      <c r="E37" s="3">
        <v>3.0</v>
      </c>
      <c r="F37" s="3">
        <v>607.0</v>
      </c>
      <c r="G37" s="6">
        <v>1821.0</v>
      </c>
      <c r="H37" s="3" t="s">
        <v>23</v>
      </c>
      <c r="I37" s="5" t="s">
        <v>24</v>
      </c>
      <c r="J37" s="7"/>
      <c r="K37" s="7"/>
      <c r="L37" s="8" t="s">
        <v>335</v>
      </c>
      <c r="M37" s="9">
        <v>45996.0</v>
      </c>
      <c r="N37" s="5"/>
      <c r="O37" s="5"/>
      <c r="P37" s="4">
        <v>4.526374913051E12</v>
      </c>
      <c r="Q37" s="7"/>
      <c r="R37" s="10"/>
      <c r="S37" s="10"/>
      <c r="T37" s="16"/>
      <c r="U37" s="12"/>
      <c r="V37" s="12"/>
      <c r="W37" s="12"/>
    </row>
    <row r="38" ht="14.25" customHeight="1">
      <c r="A38" s="2" t="s">
        <v>288</v>
      </c>
      <c r="B38" s="3" t="s">
        <v>49</v>
      </c>
      <c r="C38" s="4">
        <v>4.526374813283E12</v>
      </c>
      <c r="D38" s="5" t="s">
        <v>339</v>
      </c>
      <c r="E38" s="3">
        <v>2.0</v>
      </c>
      <c r="F38" s="3">
        <v>1323.0</v>
      </c>
      <c r="G38" s="6">
        <v>2646.0</v>
      </c>
      <c r="H38" s="3" t="s">
        <v>23</v>
      </c>
      <c r="I38" s="5" t="s">
        <v>24</v>
      </c>
      <c r="J38" s="7"/>
      <c r="K38" s="7"/>
      <c r="L38" s="8" t="s">
        <v>340</v>
      </c>
      <c r="M38" s="9">
        <v>45996.0</v>
      </c>
      <c r="N38" s="5"/>
      <c r="O38" s="5"/>
      <c r="P38" s="4">
        <v>4.526374813283E12</v>
      </c>
      <c r="Q38" s="7"/>
      <c r="R38" s="10">
        <v>8.7</v>
      </c>
      <c r="S38" s="10" t="s">
        <v>341</v>
      </c>
      <c r="T38" s="16"/>
      <c r="U38" s="12"/>
      <c r="V38" s="12"/>
      <c r="W38" s="12"/>
    </row>
    <row r="39" ht="14.25" customHeight="1">
      <c r="A39" s="2" t="s">
        <v>288</v>
      </c>
      <c r="B39" s="3" t="s">
        <v>49</v>
      </c>
      <c r="C39" s="4">
        <v>4.526374570186E12</v>
      </c>
      <c r="D39" s="5" t="s">
        <v>315</v>
      </c>
      <c r="E39" s="3">
        <v>3.0</v>
      </c>
      <c r="F39" s="3">
        <v>2095.0</v>
      </c>
      <c r="G39" s="6">
        <v>6285.0</v>
      </c>
      <c r="H39" s="3" t="s">
        <v>23</v>
      </c>
      <c r="I39" s="5" t="s">
        <v>24</v>
      </c>
      <c r="J39" s="7"/>
      <c r="K39" s="7"/>
      <c r="L39" s="8" t="s">
        <v>340</v>
      </c>
      <c r="M39" s="9">
        <v>45996.0</v>
      </c>
      <c r="N39" s="5"/>
      <c r="O39" s="5"/>
      <c r="P39" s="4">
        <v>4.526374570186E12</v>
      </c>
      <c r="Q39" s="7"/>
      <c r="R39" s="10"/>
      <c r="S39" s="10"/>
      <c r="T39" s="16"/>
      <c r="U39" s="12"/>
      <c r="V39" s="12"/>
      <c r="W39" s="12"/>
    </row>
    <row r="40" ht="14.25" customHeight="1">
      <c r="A40" s="2" t="s">
        <v>288</v>
      </c>
      <c r="B40" s="3" t="s">
        <v>49</v>
      </c>
      <c r="C40" s="4">
        <v>4.526374570193E12</v>
      </c>
      <c r="D40" s="5" t="s">
        <v>316</v>
      </c>
      <c r="E40" s="3">
        <v>3.0</v>
      </c>
      <c r="F40" s="3">
        <v>2095.0</v>
      </c>
      <c r="G40" s="6">
        <v>6285.0</v>
      </c>
      <c r="H40" s="3" t="s">
        <v>23</v>
      </c>
      <c r="I40" s="5" t="s">
        <v>24</v>
      </c>
      <c r="J40" s="7"/>
      <c r="K40" s="7"/>
      <c r="L40" s="8" t="s">
        <v>340</v>
      </c>
      <c r="M40" s="9">
        <v>45996.0</v>
      </c>
      <c r="N40" s="5"/>
      <c r="O40" s="5"/>
      <c r="P40" s="4">
        <v>4.526374570193E12</v>
      </c>
      <c r="Q40" s="7"/>
      <c r="R40" s="10"/>
      <c r="S40" s="10"/>
      <c r="T40" s="16"/>
      <c r="U40" s="12"/>
      <c r="V40" s="12"/>
      <c r="W40" s="12"/>
    </row>
    <row r="41" ht="14.25" customHeight="1">
      <c r="A41" s="2" t="s">
        <v>288</v>
      </c>
      <c r="B41" s="3" t="s">
        <v>49</v>
      </c>
      <c r="C41" s="4">
        <v>4.526374013652E12</v>
      </c>
      <c r="D41" s="5" t="s">
        <v>342</v>
      </c>
      <c r="E41" s="3">
        <v>1.0</v>
      </c>
      <c r="F41" s="3">
        <v>2205.0</v>
      </c>
      <c r="G41" s="6">
        <v>2205.0</v>
      </c>
      <c r="H41" s="3" t="s">
        <v>23</v>
      </c>
      <c r="I41" s="5" t="s">
        <v>24</v>
      </c>
      <c r="J41" s="7"/>
      <c r="K41" s="7"/>
      <c r="L41" s="8" t="s">
        <v>340</v>
      </c>
      <c r="M41" s="9">
        <v>45996.0</v>
      </c>
      <c r="N41" s="5"/>
      <c r="O41" s="5"/>
      <c r="P41" s="4">
        <v>4.526374013652E12</v>
      </c>
      <c r="Q41" s="7"/>
      <c r="R41" s="10"/>
      <c r="S41" s="10"/>
      <c r="T41" s="16"/>
      <c r="U41" s="12"/>
      <c r="V41" s="12"/>
      <c r="W41" s="12"/>
    </row>
    <row r="42" ht="14.25" customHeight="1">
      <c r="A42" s="2" t="s">
        <v>288</v>
      </c>
      <c r="B42" s="3" t="s">
        <v>49</v>
      </c>
      <c r="C42" s="4">
        <v>4.526374313394E12</v>
      </c>
      <c r="D42" s="5" t="s">
        <v>343</v>
      </c>
      <c r="E42" s="3">
        <v>3.0</v>
      </c>
      <c r="F42" s="3">
        <v>607.0</v>
      </c>
      <c r="G42" s="6">
        <v>1821.0</v>
      </c>
      <c r="H42" s="3" t="s">
        <v>23</v>
      </c>
      <c r="I42" s="5" t="s">
        <v>24</v>
      </c>
      <c r="J42" s="7"/>
      <c r="K42" s="7"/>
      <c r="L42" s="8" t="s">
        <v>340</v>
      </c>
      <c r="M42" s="9">
        <v>45996.0</v>
      </c>
      <c r="N42" s="5"/>
      <c r="O42" s="5"/>
      <c r="P42" s="4">
        <v>4.526374313394E12</v>
      </c>
      <c r="Q42" s="7"/>
      <c r="R42" s="10"/>
      <c r="S42" s="10"/>
      <c r="T42" s="16"/>
      <c r="U42" s="12"/>
      <c r="V42" s="12"/>
      <c r="W42" s="12"/>
    </row>
    <row r="43" ht="14.25" customHeight="1">
      <c r="A43" s="2" t="s">
        <v>288</v>
      </c>
      <c r="B43" s="3" t="s">
        <v>49</v>
      </c>
      <c r="C43" s="4">
        <v>4.526374613395E12</v>
      </c>
      <c r="D43" s="5" t="s">
        <v>344</v>
      </c>
      <c r="E43" s="3">
        <v>3.0</v>
      </c>
      <c r="F43" s="3">
        <v>607.0</v>
      </c>
      <c r="G43" s="6">
        <v>1821.0</v>
      </c>
      <c r="H43" s="3" t="s">
        <v>23</v>
      </c>
      <c r="I43" s="5" t="s">
        <v>24</v>
      </c>
      <c r="J43" s="7"/>
      <c r="K43" s="7"/>
      <c r="L43" s="8" t="s">
        <v>340</v>
      </c>
      <c r="M43" s="9">
        <v>45996.0</v>
      </c>
      <c r="N43" s="5"/>
      <c r="O43" s="5"/>
      <c r="P43" s="4">
        <v>4.526374613395E12</v>
      </c>
      <c r="Q43" s="7"/>
      <c r="R43" s="10"/>
      <c r="S43" s="10"/>
      <c r="T43" s="16"/>
      <c r="U43" s="12"/>
      <c r="V43" s="12"/>
      <c r="W43" s="12"/>
    </row>
    <row r="44" ht="14.25" customHeight="1">
      <c r="A44" s="2" t="s">
        <v>288</v>
      </c>
      <c r="B44" s="3" t="s">
        <v>49</v>
      </c>
      <c r="C44" s="4">
        <v>4.52637457023E12</v>
      </c>
      <c r="D44" s="5" t="s">
        <v>345</v>
      </c>
      <c r="E44" s="3">
        <v>5.0</v>
      </c>
      <c r="F44" s="3">
        <v>2471.0</v>
      </c>
      <c r="G44" s="6">
        <v>12355.0</v>
      </c>
      <c r="H44" s="3" t="s">
        <v>23</v>
      </c>
      <c r="I44" s="5" t="s">
        <v>24</v>
      </c>
      <c r="J44" s="7"/>
      <c r="K44" s="7"/>
      <c r="L44" s="8" t="s">
        <v>340</v>
      </c>
      <c r="M44" s="9">
        <v>45996.0</v>
      </c>
      <c r="N44" s="5"/>
      <c r="O44" s="5"/>
      <c r="P44" s="4">
        <v>4.52637457023E12</v>
      </c>
      <c r="Q44" s="7"/>
      <c r="R44" s="10"/>
      <c r="S44" s="10"/>
      <c r="T44" s="16"/>
      <c r="U44" s="12"/>
      <c r="V44" s="12"/>
      <c r="W44" s="12"/>
    </row>
    <row r="45" ht="14.25" customHeight="1">
      <c r="A45" s="2" t="s">
        <v>288</v>
      </c>
      <c r="B45" s="3" t="s">
        <v>264</v>
      </c>
      <c r="C45" s="4" t="s">
        <v>346</v>
      </c>
      <c r="D45" s="5" t="s">
        <v>347</v>
      </c>
      <c r="E45" s="3">
        <v>1.0</v>
      </c>
      <c r="F45" s="3">
        <v>24604.0</v>
      </c>
      <c r="G45" s="6">
        <v>24604.0</v>
      </c>
      <c r="H45" s="3" t="s">
        <v>23</v>
      </c>
      <c r="I45" s="5" t="s">
        <v>24</v>
      </c>
      <c r="J45" s="7"/>
      <c r="K45" s="7"/>
      <c r="L45" s="8" t="s">
        <v>348</v>
      </c>
      <c r="M45" s="9">
        <v>45982.0</v>
      </c>
      <c r="N45" s="5"/>
      <c r="O45" s="5" t="s">
        <v>349</v>
      </c>
      <c r="P45" s="4">
        <v>4.582616137135E12</v>
      </c>
      <c r="Q45" s="7"/>
      <c r="R45" s="10">
        <v>15.6</v>
      </c>
      <c r="S45" s="10" t="s">
        <v>350</v>
      </c>
      <c r="T45" s="16"/>
      <c r="U45" s="12"/>
      <c r="V45" s="18"/>
      <c r="W45" s="12"/>
    </row>
    <row r="46" ht="14.25" customHeight="1">
      <c r="A46" s="2" t="s">
        <v>293</v>
      </c>
      <c r="B46" s="3" t="s">
        <v>351</v>
      </c>
      <c r="C46" s="4" t="s">
        <v>352</v>
      </c>
      <c r="D46" s="5" t="s">
        <v>353</v>
      </c>
      <c r="E46" s="3">
        <v>20.0</v>
      </c>
      <c r="F46" s="3">
        <v>617.0</v>
      </c>
      <c r="G46" s="6">
        <v>12340.0</v>
      </c>
      <c r="H46" s="3" t="s">
        <v>23</v>
      </c>
      <c r="I46" s="5" t="s">
        <v>24</v>
      </c>
      <c r="J46" s="7"/>
      <c r="K46" s="7"/>
      <c r="L46" s="8" t="s">
        <v>354</v>
      </c>
      <c r="M46" s="9">
        <v>45993.0</v>
      </c>
      <c r="N46" s="5"/>
      <c r="O46" s="5"/>
      <c r="P46" s="4">
        <v>4.573432998536E12</v>
      </c>
      <c r="Q46" s="7"/>
      <c r="R46" s="10">
        <v>14.4</v>
      </c>
      <c r="S46" s="10" t="s">
        <v>355</v>
      </c>
      <c r="T46" s="16"/>
      <c r="U46" s="12"/>
      <c r="V46" s="12"/>
      <c r="W46" s="12"/>
    </row>
    <row r="47" ht="14.25" customHeight="1">
      <c r="A47" s="2" t="s">
        <v>288</v>
      </c>
      <c r="B47" s="3" t="s">
        <v>356</v>
      </c>
      <c r="C47" s="4">
        <v>6488.0</v>
      </c>
      <c r="D47" s="5" t="s">
        <v>357</v>
      </c>
      <c r="E47" s="3">
        <v>1.0</v>
      </c>
      <c r="F47" s="3">
        <v>441.0</v>
      </c>
      <c r="G47" s="6">
        <v>441.0</v>
      </c>
      <c r="H47" s="3" t="s">
        <v>23</v>
      </c>
      <c r="I47" s="5" t="s">
        <v>24</v>
      </c>
      <c r="J47" s="7"/>
      <c r="K47" s="7"/>
      <c r="L47" s="8" t="s">
        <v>354</v>
      </c>
      <c r="M47" s="9">
        <v>45996.0</v>
      </c>
      <c r="N47" s="5"/>
      <c r="O47" s="5"/>
      <c r="P47" s="4">
        <v>4.571355624501E12</v>
      </c>
      <c r="Q47" s="7"/>
      <c r="R47" s="10"/>
      <c r="S47" s="10"/>
      <c r="T47" s="16"/>
      <c r="U47" s="12"/>
      <c r="V47" s="12"/>
      <c r="W47" s="12"/>
    </row>
    <row r="48" ht="14.25" customHeight="1">
      <c r="A48" s="2" t="s">
        <v>293</v>
      </c>
      <c r="B48" s="3" t="s">
        <v>358</v>
      </c>
      <c r="C48" s="4" t="s">
        <v>359</v>
      </c>
      <c r="D48" s="5" t="s">
        <v>360</v>
      </c>
      <c r="E48" s="3">
        <v>2.0</v>
      </c>
      <c r="F48" s="3">
        <v>9810.0</v>
      </c>
      <c r="G48" s="6">
        <v>19620.0</v>
      </c>
      <c r="H48" s="3" t="s">
        <v>23</v>
      </c>
      <c r="I48" s="5" t="s">
        <v>31</v>
      </c>
      <c r="J48" s="7"/>
      <c r="K48" s="7"/>
      <c r="L48" s="8" t="s">
        <v>354</v>
      </c>
      <c r="M48" s="9">
        <v>45993.0</v>
      </c>
      <c r="N48" s="5"/>
      <c r="O48" s="5" t="s">
        <v>361</v>
      </c>
      <c r="P48" s="4">
        <v>4.58027901802E12</v>
      </c>
      <c r="Q48" s="7"/>
      <c r="R48" s="10"/>
      <c r="S48" s="10"/>
      <c r="T48" s="16"/>
      <c r="U48" s="12"/>
      <c r="V48" s="12"/>
      <c r="W48" s="12"/>
    </row>
    <row r="49" ht="14.25" customHeight="1">
      <c r="A49" s="2" t="s">
        <v>288</v>
      </c>
      <c r="B49" s="3" t="s">
        <v>356</v>
      </c>
      <c r="C49" s="4">
        <v>6299.0</v>
      </c>
      <c r="D49" s="5" t="s">
        <v>362</v>
      </c>
      <c r="E49" s="3">
        <v>3.0</v>
      </c>
      <c r="F49" s="3">
        <v>441.0</v>
      </c>
      <c r="G49" s="6">
        <v>1323.0</v>
      </c>
      <c r="H49" s="3" t="s">
        <v>23</v>
      </c>
      <c r="I49" s="5" t="s">
        <v>24</v>
      </c>
      <c r="J49" s="7"/>
      <c r="K49" s="7"/>
      <c r="L49" s="8" t="s">
        <v>354</v>
      </c>
      <c r="M49" s="9">
        <v>45996.0</v>
      </c>
      <c r="N49" s="5"/>
      <c r="O49" s="5"/>
      <c r="P49" s="4">
        <v>4.571355624495E12</v>
      </c>
      <c r="Q49" s="7"/>
      <c r="R49" s="10"/>
      <c r="S49" s="10"/>
      <c r="T49" s="16"/>
      <c r="U49" s="12"/>
      <c r="V49" s="12"/>
      <c r="W49" s="12"/>
    </row>
    <row r="50" ht="14.25" customHeight="1">
      <c r="A50" s="2" t="s">
        <v>293</v>
      </c>
      <c r="B50" s="3" t="s">
        <v>363</v>
      </c>
      <c r="C50" s="4" t="s">
        <v>364</v>
      </c>
      <c r="D50" s="5" t="s">
        <v>365</v>
      </c>
      <c r="E50" s="3">
        <v>2.0</v>
      </c>
      <c r="F50" s="3">
        <v>741.0</v>
      </c>
      <c r="G50" s="6">
        <v>1482.0</v>
      </c>
      <c r="H50" s="3" t="s">
        <v>366</v>
      </c>
      <c r="I50" s="5" t="s">
        <v>31</v>
      </c>
      <c r="J50" s="7"/>
      <c r="K50" s="7"/>
      <c r="L50" s="8" t="s">
        <v>354</v>
      </c>
      <c r="M50" s="9">
        <v>45988.0</v>
      </c>
      <c r="N50" s="5"/>
      <c r="O50" s="5"/>
      <c r="P50" s="4">
        <v>4.582474868158E12</v>
      </c>
      <c r="Q50" s="7"/>
      <c r="R50" s="10"/>
      <c r="S50" s="10"/>
      <c r="T50" s="16"/>
      <c r="U50" s="12"/>
      <c r="V50" s="12"/>
      <c r="W50" s="12"/>
    </row>
    <row r="51" ht="14.25" customHeight="1">
      <c r="A51" s="2" t="s">
        <v>293</v>
      </c>
      <c r="B51" s="3" t="s">
        <v>363</v>
      </c>
      <c r="C51" s="4" t="s">
        <v>367</v>
      </c>
      <c r="D51" s="5" t="s">
        <v>368</v>
      </c>
      <c r="E51" s="3">
        <v>2.0</v>
      </c>
      <c r="F51" s="3">
        <v>741.0</v>
      </c>
      <c r="G51" s="6">
        <v>1482.0</v>
      </c>
      <c r="H51" s="3" t="s">
        <v>366</v>
      </c>
      <c r="I51" s="5" t="s">
        <v>31</v>
      </c>
      <c r="J51" s="7"/>
      <c r="K51" s="7"/>
      <c r="L51" s="8" t="s">
        <v>354</v>
      </c>
      <c r="M51" s="9">
        <v>45988.0</v>
      </c>
      <c r="N51" s="5"/>
      <c r="O51" s="5"/>
      <c r="P51" s="4">
        <v>4.582474868127E12</v>
      </c>
      <c r="Q51" s="7"/>
      <c r="R51" s="10"/>
      <c r="S51" s="10"/>
      <c r="T51" s="16"/>
      <c r="U51" s="12"/>
      <c r="V51" s="12"/>
      <c r="W51" s="12"/>
    </row>
    <row r="52" ht="14.25" customHeight="1">
      <c r="A52" s="2" t="s">
        <v>293</v>
      </c>
      <c r="B52" s="3" t="s">
        <v>363</v>
      </c>
      <c r="C52" s="4" t="s">
        <v>369</v>
      </c>
      <c r="D52" s="5" t="s">
        <v>370</v>
      </c>
      <c r="E52" s="3">
        <v>2.0</v>
      </c>
      <c r="F52" s="3">
        <v>741.0</v>
      </c>
      <c r="G52" s="6">
        <v>1482.0</v>
      </c>
      <c r="H52" s="3" t="s">
        <v>366</v>
      </c>
      <c r="I52" s="5" t="s">
        <v>31</v>
      </c>
      <c r="J52" s="7"/>
      <c r="K52" s="7"/>
      <c r="L52" s="8" t="s">
        <v>354</v>
      </c>
      <c r="M52" s="9">
        <v>45988.0</v>
      </c>
      <c r="N52" s="5"/>
      <c r="O52" s="5"/>
      <c r="P52" s="4">
        <v>4.582474868141E12</v>
      </c>
      <c r="Q52" s="7"/>
      <c r="R52" s="10"/>
      <c r="S52" s="10"/>
      <c r="T52" s="16"/>
      <c r="U52" s="12"/>
      <c r="V52" s="12"/>
      <c r="W52" s="12"/>
    </row>
    <row r="53" ht="14.25" customHeight="1">
      <c r="A53" s="2" t="s">
        <v>293</v>
      </c>
      <c r="B53" s="3" t="s">
        <v>363</v>
      </c>
      <c r="C53" s="4" t="s">
        <v>371</v>
      </c>
      <c r="D53" s="5" t="s">
        <v>372</v>
      </c>
      <c r="E53" s="3">
        <v>2.0</v>
      </c>
      <c r="F53" s="3">
        <v>741.0</v>
      </c>
      <c r="G53" s="6">
        <v>1482.0</v>
      </c>
      <c r="H53" s="3" t="s">
        <v>366</v>
      </c>
      <c r="I53" s="5" t="s">
        <v>31</v>
      </c>
      <c r="J53" s="7"/>
      <c r="K53" s="7"/>
      <c r="L53" s="8" t="s">
        <v>354</v>
      </c>
      <c r="M53" s="9">
        <v>45988.0</v>
      </c>
      <c r="N53" s="5"/>
      <c r="O53" s="5"/>
      <c r="P53" s="4">
        <v>4.582474868134E12</v>
      </c>
      <c r="Q53" s="7"/>
      <c r="R53" s="10"/>
      <c r="S53" s="10"/>
      <c r="T53" s="16"/>
      <c r="U53" s="12"/>
      <c r="V53" s="12"/>
      <c r="W53" s="12"/>
    </row>
    <row r="54" ht="14.25" customHeight="1">
      <c r="A54" s="2" t="s">
        <v>293</v>
      </c>
      <c r="B54" s="3" t="s">
        <v>91</v>
      </c>
      <c r="C54" s="4" t="s">
        <v>373</v>
      </c>
      <c r="D54" s="5" t="s">
        <v>374</v>
      </c>
      <c r="E54" s="3">
        <v>4.0</v>
      </c>
      <c r="F54" s="3">
        <v>744.0</v>
      </c>
      <c r="G54" s="6">
        <v>2976.0</v>
      </c>
      <c r="H54" s="3" t="s">
        <v>94</v>
      </c>
      <c r="I54" s="5" t="s">
        <v>24</v>
      </c>
      <c r="J54" s="7"/>
      <c r="K54" s="7"/>
      <c r="L54" s="8" t="s">
        <v>354</v>
      </c>
      <c r="M54" s="9">
        <v>45992.0</v>
      </c>
      <c r="N54" s="5"/>
      <c r="O54" s="5"/>
      <c r="P54" s="4">
        <v>4.562349711246E12</v>
      </c>
      <c r="Q54" s="7"/>
      <c r="R54" s="10"/>
      <c r="S54" s="10"/>
      <c r="T54" s="16"/>
      <c r="U54" s="12"/>
      <c r="V54" s="12"/>
      <c r="W54" s="12"/>
    </row>
    <row r="55" ht="14.25" customHeight="1">
      <c r="A55" s="2" t="s">
        <v>293</v>
      </c>
      <c r="B55" s="3" t="s">
        <v>91</v>
      </c>
      <c r="C55" s="4" t="s">
        <v>375</v>
      </c>
      <c r="D55" s="5" t="s">
        <v>376</v>
      </c>
      <c r="E55" s="3">
        <v>4.0</v>
      </c>
      <c r="F55" s="3">
        <v>744.0</v>
      </c>
      <c r="G55" s="6">
        <v>2976.0</v>
      </c>
      <c r="H55" s="3" t="s">
        <v>94</v>
      </c>
      <c r="I55" s="5" t="s">
        <v>24</v>
      </c>
      <c r="J55" s="7"/>
      <c r="K55" s="7"/>
      <c r="L55" s="8" t="s">
        <v>354</v>
      </c>
      <c r="M55" s="9">
        <v>45992.0</v>
      </c>
      <c r="N55" s="5"/>
      <c r="O55" s="5"/>
      <c r="P55" s="4">
        <v>4.56234971126E12</v>
      </c>
      <c r="Q55" s="7"/>
      <c r="R55" s="10"/>
      <c r="S55" s="10"/>
      <c r="T55" s="16"/>
      <c r="U55" s="12"/>
      <c r="V55" s="12"/>
      <c r="W55" s="12"/>
    </row>
    <row r="56" ht="14.25" customHeight="1">
      <c r="A56" s="2" t="s">
        <v>288</v>
      </c>
      <c r="B56" s="3" t="s">
        <v>377</v>
      </c>
      <c r="C56" s="4" t="s">
        <v>378</v>
      </c>
      <c r="D56" s="5" t="s">
        <v>379</v>
      </c>
      <c r="E56" s="3">
        <v>3.0</v>
      </c>
      <c r="F56" s="3">
        <v>1477.0</v>
      </c>
      <c r="G56" s="6">
        <v>4431.0</v>
      </c>
      <c r="H56" s="3" t="s">
        <v>23</v>
      </c>
      <c r="I56" s="5" t="s">
        <v>24</v>
      </c>
      <c r="J56" s="7"/>
      <c r="K56" s="7"/>
      <c r="L56" s="8" t="s">
        <v>380</v>
      </c>
      <c r="M56" s="9">
        <v>45996.0</v>
      </c>
      <c r="N56" s="5"/>
      <c r="O56" s="5"/>
      <c r="P56" s="4">
        <v>4.582688852868E12</v>
      </c>
      <c r="Q56" s="7"/>
      <c r="R56" s="10">
        <v>14.0</v>
      </c>
      <c r="S56" s="10" t="s">
        <v>355</v>
      </c>
      <c r="T56" s="16"/>
      <c r="U56" s="12"/>
      <c r="V56" s="12"/>
      <c r="W56" s="12"/>
    </row>
    <row r="57" ht="14.25" customHeight="1">
      <c r="A57" s="2" t="s">
        <v>288</v>
      </c>
      <c r="B57" s="3" t="s">
        <v>377</v>
      </c>
      <c r="C57" s="4" t="s">
        <v>381</v>
      </c>
      <c r="D57" s="5" t="s">
        <v>382</v>
      </c>
      <c r="E57" s="3">
        <v>5.0</v>
      </c>
      <c r="F57" s="3">
        <v>1477.0</v>
      </c>
      <c r="G57" s="6">
        <v>7385.0</v>
      </c>
      <c r="H57" s="3" t="s">
        <v>23</v>
      </c>
      <c r="I57" s="5" t="s">
        <v>24</v>
      </c>
      <c r="J57" s="7"/>
      <c r="K57" s="7"/>
      <c r="L57" s="8" t="s">
        <v>380</v>
      </c>
      <c r="M57" s="9">
        <v>45996.0</v>
      </c>
      <c r="N57" s="5"/>
      <c r="O57" s="5"/>
      <c r="P57" s="4">
        <v>4.582688852141E12</v>
      </c>
      <c r="Q57" s="7"/>
      <c r="R57" s="10"/>
      <c r="S57" s="10"/>
      <c r="T57" s="16"/>
      <c r="U57" s="12"/>
      <c r="V57" s="12"/>
      <c r="W57" s="12"/>
    </row>
    <row r="58" ht="14.25" customHeight="1">
      <c r="A58" s="2" t="s">
        <v>288</v>
      </c>
      <c r="B58" s="3" t="s">
        <v>377</v>
      </c>
      <c r="C58" s="4" t="s">
        <v>383</v>
      </c>
      <c r="D58" s="5" t="s">
        <v>384</v>
      </c>
      <c r="E58" s="3">
        <v>2.0</v>
      </c>
      <c r="F58" s="3">
        <v>1905.0</v>
      </c>
      <c r="G58" s="6">
        <v>3810.0</v>
      </c>
      <c r="H58" s="3" t="s">
        <v>23</v>
      </c>
      <c r="I58" s="5" t="s">
        <v>24</v>
      </c>
      <c r="J58" s="7"/>
      <c r="K58" s="7"/>
      <c r="L58" s="8" t="s">
        <v>380</v>
      </c>
      <c r="M58" s="9">
        <v>45996.0</v>
      </c>
      <c r="N58" s="5"/>
      <c r="O58" s="5"/>
      <c r="P58" s="4">
        <v>4.58268885464E12</v>
      </c>
      <c r="Q58" s="7"/>
      <c r="R58" s="10"/>
      <c r="S58" s="10"/>
      <c r="T58" s="16"/>
      <c r="U58" s="12"/>
      <c r="V58" s="12"/>
      <c r="W58" s="12"/>
    </row>
    <row r="59" ht="14.25" customHeight="1">
      <c r="A59" s="2" t="s">
        <v>288</v>
      </c>
      <c r="B59" s="3" t="s">
        <v>377</v>
      </c>
      <c r="C59" s="4" t="s">
        <v>385</v>
      </c>
      <c r="D59" s="5" t="s">
        <v>386</v>
      </c>
      <c r="E59" s="3">
        <v>2.0</v>
      </c>
      <c r="F59" s="3">
        <v>1637.0</v>
      </c>
      <c r="G59" s="6">
        <v>3274.0</v>
      </c>
      <c r="H59" s="3" t="s">
        <v>23</v>
      </c>
      <c r="I59" s="5" t="s">
        <v>24</v>
      </c>
      <c r="J59" s="7"/>
      <c r="K59" s="7"/>
      <c r="L59" s="8" t="s">
        <v>380</v>
      </c>
      <c r="M59" s="9">
        <v>45996.0</v>
      </c>
      <c r="N59" s="5"/>
      <c r="O59" s="5"/>
      <c r="P59" s="4">
        <v>4.582688858365E12</v>
      </c>
      <c r="Q59" s="7"/>
      <c r="R59" s="10"/>
      <c r="S59" s="10"/>
      <c r="T59" s="16"/>
      <c r="U59" s="12"/>
      <c r="V59" s="12"/>
      <c r="W59" s="12"/>
    </row>
    <row r="60" ht="14.25" customHeight="1">
      <c r="A60" s="2" t="s">
        <v>293</v>
      </c>
      <c r="B60" s="3" t="s">
        <v>358</v>
      </c>
      <c r="C60" s="4" t="s">
        <v>359</v>
      </c>
      <c r="D60" s="5" t="s">
        <v>360</v>
      </c>
      <c r="E60" s="3">
        <v>2.0</v>
      </c>
      <c r="F60" s="3">
        <v>9810.0</v>
      </c>
      <c r="G60" s="6">
        <v>19620.0</v>
      </c>
      <c r="H60" s="3" t="s">
        <v>23</v>
      </c>
      <c r="I60" s="5" t="s">
        <v>31</v>
      </c>
      <c r="J60" s="7"/>
      <c r="K60" s="7"/>
      <c r="L60" s="8" t="s">
        <v>380</v>
      </c>
      <c r="M60" s="9">
        <v>45993.0</v>
      </c>
      <c r="N60" s="5"/>
      <c r="O60" s="5" t="s">
        <v>361</v>
      </c>
      <c r="P60" s="4">
        <v>4.58027901802E12</v>
      </c>
      <c r="Q60" s="7"/>
      <c r="R60" s="10"/>
      <c r="S60" s="10"/>
      <c r="T60" s="16"/>
      <c r="U60" s="12"/>
      <c r="V60" s="12"/>
      <c r="W60" s="12"/>
    </row>
    <row r="61" ht="14.25" customHeight="1">
      <c r="A61" s="2" t="s">
        <v>288</v>
      </c>
      <c r="B61" s="3" t="s">
        <v>356</v>
      </c>
      <c r="C61" s="4" t="s">
        <v>387</v>
      </c>
      <c r="D61" s="5" t="s">
        <v>388</v>
      </c>
      <c r="E61" s="3">
        <v>3.0</v>
      </c>
      <c r="F61" s="3">
        <v>3820.0</v>
      </c>
      <c r="G61" s="6">
        <v>11460.0</v>
      </c>
      <c r="H61" s="3" t="s">
        <v>23</v>
      </c>
      <c r="I61" s="5" t="s">
        <v>24</v>
      </c>
      <c r="J61" s="7"/>
      <c r="K61" s="7"/>
      <c r="L61" s="8" t="s">
        <v>380</v>
      </c>
      <c r="M61" s="9">
        <v>45996.0</v>
      </c>
      <c r="N61" s="5"/>
      <c r="O61" s="5"/>
      <c r="P61" s="4">
        <v>4.571515940243E12</v>
      </c>
      <c r="Q61" s="7"/>
      <c r="R61" s="10"/>
      <c r="S61" s="10"/>
      <c r="T61" s="16"/>
      <c r="U61" s="12"/>
      <c r="V61" s="12"/>
      <c r="W61" s="12"/>
    </row>
    <row r="62" ht="14.25" customHeight="1">
      <c r="A62" s="2" t="s">
        <v>288</v>
      </c>
      <c r="B62" s="3" t="s">
        <v>377</v>
      </c>
      <c r="C62" s="4" t="s">
        <v>389</v>
      </c>
      <c r="D62" s="5" t="s">
        <v>390</v>
      </c>
      <c r="E62" s="3">
        <v>5.0</v>
      </c>
      <c r="F62" s="3">
        <v>1637.0</v>
      </c>
      <c r="G62" s="6">
        <v>8185.0</v>
      </c>
      <c r="H62" s="3" t="s">
        <v>23</v>
      </c>
      <c r="I62" s="5" t="s">
        <v>24</v>
      </c>
      <c r="J62" s="7"/>
      <c r="K62" s="7"/>
      <c r="L62" s="8" t="s">
        <v>380</v>
      </c>
      <c r="M62" s="9">
        <v>45996.0</v>
      </c>
      <c r="N62" s="5"/>
      <c r="O62" s="5"/>
      <c r="P62" s="4">
        <v>4.582688858372E12</v>
      </c>
      <c r="Q62" s="7"/>
      <c r="R62" s="10"/>
      <c r="S62" s="10"/>
      <c r="T62" s="16"/>
      <c r="U62" s="12"/>
      <c r="V62" s="12"/>
      <c r="W62" s="12"/>
    </row>
    <row r="63" ht="14.25" customHeight="1">
      <c r="A63" s="2" t="s">
        <v>288</v>
      </c>
      <c r="B63" s="3" t="s">
        <v>358</v>
      </c>
      <c r="C63" s="4" t="s">
        <v>391</v>
      </c>
      <c r="D63" s="5" t="s">
        <v>392</v>
      </c>
      <c r="E63" s="3">
        <v>8.0</v>
      </c>
      <c r="F63" s="3">
        <v>770.0</v>
      </c>
      <c r="G63" s="6">
        <v>6160.0</v>
      </c>
      <c r="H63" s="3" t="s">
        <v>23</v>
      </c>
      <c r="I63" s="5" t="s">
        <v>31</v>
      </c>
      <c r="J63" s="7"/>
      <c r="K63" s="7"/>
      <c r="L63" s="8" t="s">
        <v>380</v>
      </c>
      <c r="M63" s="9">
        <v>45996.0</v>
      </c>
      <c r="N63" s="5"/>
      <c r="O63" s="5" t="s">
        <v>393</v>
      </c>
      <c r="P63" s="4">
        <v>4.582593588074E12</v>
      </c>
      <c r="Q63" s="7"/>
      <c r="R63" s="10"/>
      <c r="S63" s="10"/>
      <c r="T63" s="16"/>
      <c r="U63" s="12"/>
      <c r="V63" s="12"/>
      <c r="W63" s="12"/>
    </row>
    <row r="64" ht="14.25" customHeight="1">
      <c r="A64" s="2" t="s">
        <v>288</v>
      </c>
      <c r="B64" s="3" t="s">
        <v>394</v>
      </c>
      <c r="C64" s="4" t="s">
        <v>395</v>
      </c>
      <c r="D64" s="5" t="s">
        <v>396</v>
      </c>
      <c r="E64" s="3">
        <v>10.0</v>
      </c>
      <c r="F64" s="3">
        <v>1478.0</v>
      </c>
      <c r="G64" s="6">
        <v>14780.0</v>
      </c>
      <c r="H64" s="3" t="s">
        <v>23</v>
      </c>
      <c r="I64" s="5" t="s">
        <v>24</v>
      </c>
      <c r="J64" s="7"/>
      <c r="K64" s="7"/>
      <c r="L64" s="8" t="s">
        <v>380</v>
      </c>
      <c r="M64" s="9">
        <v>45996.0</v>
      </c>
      <c r="N64" s="5"/>
      <c r="O64" s="5"/>
      <c r="P64" s="4">
        <v>4.580618430261E12</v>
      </c>
      <c r="Q64" s="7"/>
      <c r="R64" s="10"/>
      <c r="S64" s="10"/>
      <c r="T64" s="16"/>
      <c r="U64" s="12"/>
      <c r="V64" s="12"/>
      <c r="W64" s="12"/>
    </row>
    <row r="65" ht="14.25" customHeight="1">
      <c r="A65" s="2" t="s">
        <v>288</v>
      </c>
      <c r="B65" s="3" t="s">
        <v>377</v>
      </c>
      <c r="C65" s="4" t="s">
        <v>397</v>
      </c>
      <c r="D65" s="5" t="s">
        <v>398</v>
      </c>
      <c r="E65" s="3">
        <v>3.0</v>
      </c>
      <c r="F65" s="3">
        <v>1477.0</v>
      </c>
      <c r="G65" s="6">
        <v>4431.0</v>
      </c>
      <c r="H65" s="3" t="s">
        <v>94</v>
      </c>
      <c r="I65" s="5" t="s">
        <v>24</v>
      </c>
      <c r="J65" s="7"/>
      <c r="K65" s="7"/>
      <c r="L65" s="8" t="s">
        <v>380</v>
      </c>
      <c r="M65" s="9">
        <v>45996.0</v>
      </c>
      <c r="N65" s="5"/>
      <c r="O65" s="5"/>
      <c r="P65" s="4">
        <v>4.582688861471E12</v>
      </c>
      <c r="Q65" s="7"/>
      <c r="R65" s="10"/>
      <c r="S65" s="10"/>
      <c r="T65" s="16"/>
      <c r="U65" s="12"/>
      <c r="V65" s="12"/>
      <c r="W65" s="12"/>
    </row>
    <row r="66" ht="14.25" customHeight="1">
      <c r="A66" s="2" t="s">
        <v>288</v>
      </c>
      <c r="B66" s="3" t="s">
        <v>377</v>
      </c>
      <c r="C66" s="4" t="s">
        <v>399</v>
      </c>
      <c r="D66" s="5" t="s">
        <v>400</v>
      </c>
      <c r="E66" s="3">
        <v>5.0</v>
      </c>
      <c r="F66" s="3">
        <v>1905.0</v>
      </c>
      <c r="G66" s="6">
        <v>9525.0</v>
      </c>
      <c r="H66" s="3" t="s">
        <v>94</v>
      </c>
      <c r="I66" s="5" t="s">
        <v>24</v>
      </c>
      <c r="J66" s="7"/>
      <c r="K66" s="7"/>
      <c r="L66" s="8" t="s">
        <v>380</v>
      </c>
      <c r="M66" s="9">
        <v>45996.0</v>
      </c>
      <c r="N66" s="5"/>
      <c r="O66" s="5"/>
      <c r="P66" s="4">
        <v>4.582688863444E12</v>
      </c>
      <c r="Q66" s="7"/>
      <c r="R66" s="10"/>
      <c r="S66" s="10"/>
      <c r="T66" s="16"/>
      <c r="U66" s="12"/>
      <c r="V66" s="12"/>
      <c r="W66" s="12"/>
    </row>
    <row r="67" ht="14.25" customHeight="1">
      <c r="A67" s="2" t="s">
        <v>293</v>
      </c>
      <c r="B67" s="3" t="s">
        <v>401</v>
      </c>
      <c r="C67" s="4" t="s">
        <v>402</v>
      </c>
      <c r="D67" s="5" t="s">
        <v>403</v>
      </c>
      <c r="E67" s="3">
        <v>5.0</v>
      </c>
      <c r="F67" s="3">
        <v>810.0</v>
      </c>
      <c r="G67" s="6">
        <v>4050.0</v>
      </c>
      <c r="H67" s="3" t="s">
        <v>94</v>
      </c>
      <c r="I67" s="5" t="s">
        <v>24</v>
      </c>
      <c r="J67" s="7"/>
      <c r="K67" s="7"/>
      <c r="L67" s="8" t="s">
        <v>380</v>
      </c>
      <c r="M67" s="9">
        <v>45999.0</v>
      </c>
      <c r="N67" s="5"/>
      <c r="O67" s="5"/>
      <c r="P67" s="4">
        <v>4.582616150332E12</v>
      </c>
      <c r="Q67" s="7"/>
      <c r="R67" s="10"/>
      <c r="S67" s="10"/>
      <c r="T67" s="16"/>
      <c r="U67" s="12"/>
      <c r="V67" s="12"/>
      <c r="W67" s="12"/>
    </row>
    <row r="68" ht="14.25" customHeight="1">
      <c r="A68" s="2" t="s">
        <v>288</v>
      </c>
      <c r="B68" s="3" t="s">
        <v>377</v>
      </c>
      <c r="C68" s="4" t="s">
        <v>404</v>
      </c>
      <c r="D68" s="5" t="s">
        <v>405</v>
      </c>
      <c r="E68" s="3">
        <v>2.0</v>
      </c>
      <c r="F68" s="3">
        <v>1563.0</v>
      </c>
      <c r="G68" s="6">
        <v>3126.0</v>
      </c>
      <c r="H68" s="3" t="s">
        <v>94</v>
      </c>
      <c r="I68" s="5" t="s">
        <v>24</v>
      </c>
      <c r="J68" s="7"/>
      <c r="K68" s="7"/>
      <c r="L68" s="8" t="s">
        <v>380</v>
      </c>
      <c r="M68" s="9">
        <v>45996.0</v>
      </c>
      <c r="N68" s="5"/>
      <c r="O68" s="5"/>
      <c r="P68" s="4">
        <v>4.582688863543E12</v>
      </c>
      <c r="Q68" s="7"/>
      <c r="R68" s="10"/>
      <c r="S68" s="10"/>
      <c r="T68" s="16"/>
      <c r="U68" s="12"/>
      <c r="V68" s="12"/>
      <c r="W68" s="12"/>
    </row>
    <row r="69" ht="14.25" customHeight="1">
      <c r="A69" s="2" t="s">
        <v>293</v>
      </c>
      <c r="B69" s="3" t="s">
        <v>358</v>
      </c>
      <c r="C69" s="4" t="s">
        <v>359</v>
      </c>
      <c r="D69" s="5" t="s">
        <v>360</v>
      </c>
      <c r="E69" s="3">
        <v>6.0</v>
      </c>
      <c r="F69" s="3">
        <v>9810.0</v>
      </c>
      <c r="G69" s="6">
        <v>58860.0</v>
      </c>
      <c r="H69" s="3" t="s">
        <v>23</v>
      </c>
      <c r="I69" s="5" t="s">
        <v>31</v>
      </c>
      <c r="J69" s="7"/>
      <c r="K69" s="7"/>
      <c r="L69" s="8" t="s">
        <v>406</v>
      </c>
      <c r="M69" s="9">
        <v>45993.0</v>
      </c>
      <c r="N69" s="5"/>
      <c r="O69" s="5" t="s">
        <v>361</v>
      </c>
      <c r="P69" s="4">
        <v>4.58027901802E12</v>
      </c>
      <c r="Q69" s="7"/>
      <c r="R69" s="10">
        <v>9.6</v>
      </c>
      <c r="S69" s="10" t="s">
        <v>355</v>
      </c>
      <c r="T69" s="16"/>
      <c r="U69" s="12"/>
      <c r="V69" s="12"/>
      <c r="W69" s="12"/>
    </row>
    <row r="70" ht="14.25" customHeight="1">
      <c r="A70" s="2" t="s">
        <v>288</v>
      </c>
      <c r="B70" s="3" t="s">
        <v>351</v>
      </c>
      <c r="C70" s="4" t="s">
        <v>407</v>
      </c>
      <c r="D70" s="5" t="s">
        <v>408</v>
      </c>
      <c r="E70" s="3">
        <v>10.0</v>
      </c>
      <c r="F70" s="3">
        <v>1058.0</v>
      </c>
      <c r="G70" s="6">
        <v>10580.0</v>
      </c>
      <c r="H70" s="3" t="s">
        <v>23</v>
      </c>
      <c r="I70" s="5" t="s">
        <v>31</v>
      </c>
      <c r="J70" s="7"/>
      <c r="K70" s="7"/>
      <c r="L70" s="8" t="s">
        <v>409</v>
      </c>
      <c r="M70" s="9">
        <v>45996.0</v>
      </c>
      <c r="N70" s="5"/>
      <c r="O70" s="5"/>
      <c r="P70" s="4">
        <v>4.573432994354E12</v>
      </c>
      <c r="Q70" s="7"/>
      <c r="R70" s="10">
        <v>20.2</v>
      </c>
      <c r="S70" s="10" t="s">
        <v>410</v>
      </c>
      <c r="T70" s="16"/>
      <c r="U70" s="12"/>
      <c r="V70" s="12"/>
      <c r="W70" s="12"/>
    </row>
    <row r="71" ht="14.25" customHeight="1">
      <c r="A71" s="2" t="s">
        <v>293</v>
      </c>
      <c r="B71" s="3" t="s">
        <v>351</v>
      </c>
      <c r="C71" s="4" t="s">
        <v>411</v>
      </c>
      <c r="D71" s="5" t="s">
        <v>412</v>
      </c>
      <c r="E71" s="3">
        <v>20.0</v>
      </c>
      <c r="F71" s="3">
        <v>1103.0</v>
      </c>
      <c r="G71" s="6">
        <v>22060.0</v>
      </c>
      <c r="H71" s="3" t="s">
        <v>23</v>
      </c>
      <c r="I71" s="5" t="s">
        <v>31</v>
      </c>
      <c r="J71" s="7"/>
      <c r="K71" s="7"/>
      <c r="L71" s="8" t="s">
        <v>409</v>
      </c>
      <c r="M71" s="9">
        <v>45993.0</v>
      </c>
      <c r="N71" s="5"/>
      <c r="O71" s="5"/>
      <c r="P71" s="4">
        <v>4.573432999977E12</v>
      </c>
      <c r="Q71" s="7"/>
      <c r="R71" s="10"/>
      <c r="S71" s="10"/>
      <c r="T71" s="16"/>
      <c r="U71" s="12"/>
      <c r="V71" s="12"/>
      <c r="W71" s="12"/>
    </row>
    <row r="72" ht="14.25" customHeight="1">
      <c r="A72" s="2" t="s">
        <v>288</v>
      </c>
      <c r="B72" s="3" t="s">
        <v>49</v>
      </c>
      <c r="C72" s="4">
        <v>4.526374570421E12</v>
      </c>
      <c r="D72" s="5" t="s">
        <v>413</v>
      </c>
      <c r="E72" s="3">
        <v>3.0</v>
      </c>
      <c r="F72" s="3">
        <v>2471.0</v>
      </c>
      <c r="G72" s="6">
        <v>7413.0</v>
      </c>
      <c r="H72" s="3" t="s">
        <v>23</v>
      </c>
      <c r="I72" s="5" t="s">
        <v>24</v>
      </c>
      <c r="J72" s="7"/>
      <c r="K72" s="7"/>
      <c r="L72" s="8" t="s">
        <v>409</v>
      </c>
      <c r="M72" s="9">
        <v>45996.0</v>
      </c>
      <c r="N72" s="5"/>
      <c r="O72" s="5"/>
      <c r="P72" s="4">
        <v>4.526374570421E12</v>
      </c>
      <c r="Q72" s="7"/>
      <c r="R72" s="10"/>
      <c r="S72" s="10"/>
      <c r="T72" s="16"/>
      <c r="U72" s="12"/>
      <c r="V72" s="12"/>
      <c r="W72" s="12"/>
    </row>
    <row r="73" ht="14.25" customHeight="1">
      <c r="A73" s="2" t="s">
        <v>288</v>
      </c>
      <c r="B73" s="3" t="s">
        <v>49</v>
      </c>
      <c r="C73" s="4">
        <v>4.526374570438E12</v>
      </c>
      <c r="D73" s="5" t="s">
        <v>414</v>
      </c>
      <c r="E73" s="3">
        <v>3.0</v>
      </c>
      <c r="F73" s="3">
        <v>2471.0</v>
      </c>
      <c r="G73" s="6">
        <v>7413.0</v>
      </c>
      <c r="H73" s="3" t="s">
        <v>23</v>
      </c>
      <c r="I73" s="5" t="s">
        <v>24</v>
      </c>
      <c r="J73" s="7"/>
      <c r="K73" s="7"/>
      <c r="L73" s="8" t="s">
        <v>409</v>
      </c>
      <c r="M73" s="9">
        <v>45996.0</v>
      </c>
      <c r="N73" s="5"/>
      <c r="O73" s="5"/>
      <c r="P73" s="4">
        <v>4.526374570438E12</v>
      </c>
      <c r="Q73" s="7"/>
      <c r="R73" s="10"/>
      <c r="S73" s="10"/>
      <c r="T73" s="16"/>
      <c r="U73" s="12"/>
      <c r="V73" s="12"/>
      <c r="W73" s="12"/>
    </row>
    <row r="74" ht="14.25" customHeight="1">
      <c r="A74" s="2" t="s">
        <v>288</v>
      </c>
      <c r="B74" s="3" t="s">
        <v>244</v>
      </c>
      <c r="C74" s="4" t="s">
        <v>245</v>
      </c>
      <c r="D74" s="5" t="s">
        <v>246</v>
      </c>
      <c r="E74" s="3">
        <v>3.0</v>
      </c>
      <c r="F74" s="3">
        <v>2337.0</v>
      </c>
      <c r="G74" s="6">
        <v>7011.0</v>
      </c>
      <c r="H74" s="3" t="s">
        <v>23</v>
      </c>
      <c r="I74" s="5" t="s">
        <v>24</v>
      </c>
      <c r="J74" s="7"/>
      <c r="K74" s="7"/>
      <c r="L74" s="8" t="s">
        <v>409</v>
      </c>
      <c r="M74" s="9">
        <v>45996.0</v>
      </c>
      <c r="N74" s="5"/>
      <c r="O74" s="5"/>
      <c r="P74" s="4">
        <v>4.571631312382E12</v>
      </c>
      <c r="Q74" s="7"/>
      <c r="R74" s="10"/>
      <c r="S74" s="10"/>
      <c r="T74" s="16"/>
      <c r="U74" s="12"/>
      <c r="V74" s="12"/>
      <c r="W74" s="12"/>
    </row>
    <row r="75" ht="14.25" customHeight="1">
      <c r="A75" s="2" t="s">
        <v>293</v>
      </c>
      <c r="B75" s="3" t="s">
        <v>363</v>
      </c>
      <c r="C75" s="4" t="s">
        <v>415</v>
      </c>
      <c r="D75" s="5" t="s">
        <v>416</v>
      </c>
      <c r="E75" s="3">
        <v>10.0</v>
      </c>
      <c r="F75" s="3">
        <v>1019.0</v>
      </c>
      <c r="G75" s="6">
        <v>10190.0</v>
      </c>
      <c r="H75" s="3" t="s">
        <v>94</v>
      </c>
      <c r="I75" s="5" t="s">
        <v>24</v>
      </c>
      <c r="J75" s="7"/>
      <c r="K75" s="7"/>
      <c r="L75" s="8" t="s">
        <v>417</v>
      </c>
      <c r="M75" s="9">
        <v>45987.0</v>
      </c>
      <c r="N75" s="5"/>
      <c r="O75" s="5"/>
      <c r="P75" s="4">
        <v>4.582474867298E12</v>
      </c>
      <c r="Q75" s="7"/>
      <c r="R75" s="10">
        <v>16.1</v>
      </c>
      <c r="S75" s="10" t="s">
        <v>418</v>
      </c>
      <c r="T75" s="16"/>
      <c r="U75" s="12"/>
      <c r="V75" s="12"/>
      <c r="W75" s="12"/>
    </row>
    <row r="76" ht="14.25" customHeight="1">
      <c r="A76" s="2" t="s">
        <v>293</v>
      </c>
      <c r="B76" s="3" t="s">
        <v>363</v>
      </c>
      <c r="C76" s="4" t="s">
        <v>419</v>
      </c>
      <c r="D76" s="5" t="s">
        <v>420</v>
      </c>
      <c r="E76" s="3">
        <v>10.0</v>
      </c>
      <c r="F76" s="3">
        <v>1019.0</v>
      </c>
      <c r="G76" s="6">
        <v>10190.0</v>
      </c>
      <c r="H76" s="3" t="s">
        <v>94</v>
      </c>
      <c r="I76" s="5" t="s">
        <v>24</v>
      </c>
      <c r="J76" s="7"/>
      <c r="K76" s="7"/>
      <c r="L76" s="8" t="s">
        <v>417</v>
      </c>
      <c r="M76" s="9">
        <v>45987.0</v>
      </c>
      <c r="N76" s="5"/>
      <c r="O76" s="5"/>
      <c r="P76" s="4">
        <v>4.582474867304E12</v>
      </c>
      <c r="Q76" s="7"/>
      <c r="R76" s="10"/>
      <c r="S76" s="10"/>
      <c r="T76" s="16"/>
      <c r="U76" s="12"/>
      <c r="V76" s="12"/>
      <c r="W76" s="12"/>
    </row>
    <row r="77" ht="14.25" customHeight="1">
      <c r="A77" s="2" t="s">
        <v>288</v>
      </c>
      <c r="B77" s="3" t="s">
        <v>49</v>
      </c>
      <c r="C77" s="4">
        <v>4.526374159008E12</v>
      </c>
      <c r="D77" s="5" t="s">
        <v>292</v>
      </c>
      <c r="E77" s="3">
        <v>15.0</v>
      </c>
      <c r="F77" s="3">
        <v>441.0</v>
      </c>
      <c r="G77" s="6">
        <v>6615.0</v>
      </c>
      <c r="H77" s="3" t="s">
        <v>94</v>
      </c>
      <c r="I77" s="5" t="s">
        <v>24</v>
      </c>
      <c r="J77" s="7"/>
      <c r="K77" s="7"/>
      <c r="L77" s="8" t="s">
        <v>417</v>
      </c>
      <c r="M77" s="9">
        <v>45873.0</v>
      </c>
      <c r="N77" s="5"/>
      <c r="O77" s="5"/>
      <c r="P77" s="4">
        <v>4.526374159008E12</v>
      </c>
      <c r="Q77" s="7"/>
      <c r="R77" s="10"/>
      <c r="S77" s="10"/>
      <c r="T77" s="16"/>
      <c r="U77" s="12"/>
      <c r="V77" s="12"/>
      <c r="W77" s="12"/>
    </row>
    <row r="78" ht="14.25" customHeight="1">
      <c r="A78" s="2" t="s">
        <v>288</v>
      </c>
      <c r="B78" s="3" t="s">
        <v>20</v>
      </c>
      <c r="C78" s="4" t="s">
        <v>421</v>
      </c>
      <c r="D78" s="5" t="s">
        <v>422</v>
      </c>
      <c r="E78" s="3">
        <v>10.0</v>
      </c>
      <c r="F78" s="3">
        <v>827.0</v>
      </c>
      <c r="G78" s="6">
        <v>8270.0</v>
      </c>
      <c r="H78" s="3" t="s">
        <v>94</v>
      </c>
      <c r="I78" s="5" t="s">
        <v>24</v>
      </c>
      <c r="J78" s="7"/>
      <c r="K78" s="7"/>
      <c r="L78" s="8" t="s">
        <v>423</v>
      </c>
      <c r="M78" s="9">
        <v>45996.0</v>
      </c>
      <c r="N78" s="5"/>
      <c r="O78" s="5"/>
      <c r="P78" s="4">
        <v>4.589717862461E12</v>
      </c>
      <c r="Q78" s="7"/>
      <c r="R78" s="10">
        <v>11.9</v>
      </c>
      <c r="S78" s="10" t="s">
        <v>424</v>
      </c>
      <c r="T78" s="16"/>
      <c r="U78" s="12"/>
      <c r="V78" s="12"/>
      <c r="W78" s="12"/>
    </row>
    <row r="79" ht="14.25" customHeight="1">
      <c r="A79" s="2" t="s">
        <v>293</v>
      </c>
      <c r="B79" s="3" t="s">
        <v>43</v>
      </c>
      <c r="C79" s="4" t="s">
        <v>425</v>
      </c>
      <c r="D79" s="5" t="s">
        <v>426</v>
      </c>
      <c r="E79" s="3">
        <v>18.0</v>
      </c>
      <c r="F79" s="3">
        <v>4388.0</v>
      </c>
      <c r="G79" s="6">
        <v>78984.0</v>
      </c>
      <c r="H79" s="3" t="s">
        <v>23</v>
      </c>
      <c r="I79" s="5" t="s">
        <v>24</v>
      </c>
      <c r="J79" s="7"/>
      <c r="K79" s="7"/>
      <c r="L79" s="8" t="s">
        <v>427</v>
      </c>
      <c r="M79" s="9">
        <v>46000.0</v>
      </c>
      <c r="N79" s="5"/>
      <c r="O79" s="5"/>
      <c r="P79" s="4">
        <v>4.570099420158E12</v>
      </c>
      <c r="Q79" s="7"/>
      <c r="R79" s="10">
        <v>14.6</v>
      </c>
      <c r="S79" s="10" t="s">
        <v>428</v>
      </c>
      <c r="T79" s="16"/>
      <c r="U79" s="12"/>
      <c r="V79" s="12"/>
      <c r="W79" s="12"/>
    </row>
    <row r="80" ht="14.25" customHeight="1">
      <c r="A80" s="2" t="s">
        <v>293</v>
      </c>
      <c r="B80" s="3" t="s">
        <v>43</v>
      </c>
      <c r="C80" s="4" t="s">
        <v>429</v>
      </c>
      <c r="D80" s="5" t="s">
        <v>430</v>
      </c>
      <c r="E80" s="3">
        <v>30.0</v>
      </c>
      <c r="F80" s="3">
        <v>549.0</v>
      </c>
      <c r="G80" s="6">
        <v>16470.0</v>
      </c>
      <c r="H80" s="3" t="s">
        <v>23</v>
      </c>
      <c r="I80" s="5" t="s">
        <v>24</v>
      </c>
      <c r="J80" s="7"/>
      <c r="K80" s="7"/>
      <c r="L80" s="8" t="s">
        <v>431</v>
      </c>
      <c r="M80" s="9">
        <v>46000.0</v>
      </c>
      <c r="N80" s="5"/>
      <c r="O80" s="5"/>
      <c r="P80" s="4">
        <v>4.570099420172E12</v>
      </c>
      <c r="Q80" s="7"/>
      <c r="R80" s="10">
        <v>24.6</v>
      </c>
      <c r="S80" s="10" t="s">
        <v>133</v>
      </c>
      <c r="T80" s="16"/>
      <c r="U80" s="12"/>
      <c r="V80" s="12"/>
      <c r="W80" s="12"/>
    </row>
    <row r="81" ht="14.25" customHeight="1">
      <c r="A81" s="2" t="s">
        <v>293</v>
      </c>
      <c r="B81" s="3" t="s">
        <v>43</v>
      </c>
      <c r="C81" s="4" t="s">
        <v>432</v>
      </c>
      <c r="D81" s="5" t="s">
        <v>433</v>
      </c>
      <c r="E81" s="3">
        <v>30.0</v>
      </c>
      <c r="F81" s="3">
        <v>549.0</v>
      </c>
      <c r="G81" s="6">
        <v>16470.0</v>
      </c>
      <c r="H81" s="3" t="s">
        <v>23</v>
      </c>
      <c r="I81" s="5" t="s">
        <v>24</v>
      </c>
      <c r="J81" s="7"/>
      <c r="K81" s="7"/>
      <c r="L81" s="8" t="s">
        <v>431</v>
      </c>
      <c r="M81" s="9">
        <v>46000.0</v>
      </c>
      <c r="N81" s="5"/>
      <c r="O81" s="5"/>
      <c r="P81" s="4">
        <v>4.570099420189E12</v>
      </c>
      <c r="Q81" s="7"/>
      <c r="R81" s="10"/>
      <c r="S81" s="10"/>
      <c r="T81" s="16"/>
      <c r="U81" s="12"/>
      <c r="V81" s="12"/>
      <c r="W81" s="12"/>
    </row>
    <row r="82" ht="14.25" customHeight="1">
      <c r="A82" s="2" t="s">
        <v>293</v>
      </c>
      <c r="B82" s="3" t="s">
        <v>434</v>
      </c>
      <c r="C82" s="4" t="s">
        <v>435</v>
      </c>
      <c r="D82" s="5" t="s">
        <v>436</v>
      </c>
      <c r="E82" s="3">
        <v>8.0</v>
      </c>
      <c r="F82" s="3">
        <v>1000.0</v>
      </c>
      <c r="G82" s="6">
        <v>8000.0</v>
      </c>
      <c r="H82" s="3" t="s">
        <v>23</v>
      </c>
      <c r="I82" s="5" t="s">
        <v>31</v>
      </c>
      <c r="J82" s="7"/>
      <c r="K82" s="7"/>
      <c r="L82" s="8" t="s">
        <v>431</v>
      </c>
      <c r="M82" s="9">
        <v>45986.0</v>
      </c>
      <c r="N82" s="5"/>
      <c r="O82" s="5"/>
      <c r="P82" s="4">
        <v>4.589931680568E12</v>
      </c>
      <c r="Q82" s="7"/>
      <c r="R82" s="10"/>
      <c r="S82" s="10"/>
      <c r="T82" s="16"/>
      <c r="U82" s="12"/>
      <c r="V82" s="12"/>
      <c r="W82" s="12"/>
    </row>
    <row r="83" ht="14.25" customHeight="1">
      <c r="A83" s="2" t="s">
        <v>288</v>
      </c>
      <c r="B83" s="3" t="s">
        <v>356</v>
      </c>
      <c r="C83" s="4">
        <v>8899.0</v>
      </c>
      <c r="D83" s="5" t="s">
        <v>437</v>
      </c>
      <c r="E83" s="3">
        <v>10.0</v>
      </c>
      <c r="F83" s="3">
        <v>425.0</v>
      </c>
      <c r="G83" s="6">
        <v>4250.0</v>
      </c>
      <c r="H83" s="3" t="s">
        <v>23</v>
      </c>
      <c r="I83" s="5" t="s">
        <v>24</v>
      </c>
      <c r="J83" s="7"/>
      <c r="K83" s="7"/>
      <c r="L83" s="8" t="s">
        <v>438</v>
      </c>
      <c r="M83" s="9">
        <v>45996.0</v>
      </c>
      <c r="N83" s="5" t="s">
        <v>439</v>
      </c>
      <c r="O83" s="5"/>
      <c r="P83" s="4">
        <v>4.571355639116E12</v>
      </c>
      <c r="Q83" s="7"/>
      <c r="R83" s="10">
        <v>20.3</v>
      </c>
      <c r="S83" s="10" t="s">
        <v>440</v>
      </c>
      <c r="T83" s="16"/>
      <c r="U83" s="12"/>
      <c r="V83" s="12"/>
      <c r="W83" s="12"/>
    </row>
    <row r="84" ht="14.25" customHeight="1">
      <c r="A84" s="2" t="s">
        <v>288</v>
      </c>
      <c r="B84" s="3" t="s">
        <v>356</v>
      </c>
      <c r="C84" s="4">
        <v>8898.0</v>
      </c>
      <c r="D84" s="5" t="s">
        <v>441</v>
      </c>
      <c r="E84" s="3">
        <v>10.0</v>
      </c>
      <c r="F84" s="3">
        <v>425.0</v>
      </c>
      <c r="G84" s="6">
        <v>4250.0</v>
      </c>
      <c r="H84" s="3" t="s">
        <v>23</v>
      </c>
      <c r="I84" s="5" t="s">
        <v>24</v>
      </c>
      <c r="J84" s="7"/>
      <c r="K84" s="7"/>
      <c r="L84" s="8" t="s">
        <v>438</v>
      </c>
      <c r="M84" s="9">
        <v>45996.0</v>
      </c>
      <c r="N84" s="5" t="s">
        <v>439</v>
      </c>
      <c r="O84" s="5"/>
      <c r="P84" s="4">
        <v>4.571355639093E12</v>
      </c>
      <c r="Q84" s="7"/>
      <c r="R84" s="10"/>
      <c r="S84" s="10"/>
      <c r="T84" s="16"/>
      <c r="U84" s="12"/>
      <c r="V84" s="12"/>
      <c r="W84" s="12"/>
    </row>
    <row r="85" ht="14.25" customHeight="1">
      <c r="A85" s="2" t="s">
        <v>293</v>
      </c>
      <c r="B85" s="3" t="s">
        <v>43</v>
      </c>
      <c r="C85" s="4" t="s">
        <v>442</v>
      </c>
      <c r="D85" s="5" t="s">
        <v>443</v>
      </c>
      <c r="E85" s="3">
        <v>30.0</v>
      </c>
      <c r="F85" s="3">
        <v>549.0</v>
      </c>
      <c r="G85" s="6">
        <v>16470.0</v>
      </c>
      <c r="H85" s="3" t="s">
        <v>23</v>
      </c>
      <c r="I85" s="5" t="s">
        <v>24</v>
      </c>
      <c r="J85" s="7"/>
      <c r="K85" s="7"/>
      <c r="L85" s="8" t="s">
        <v>438</v>
      </c>
      <c r="M85" s="9">
        <v>46000.0</v>
      </c>
      <c r="N85" s="5"/>
      <c r="O85" s="5"/>
      <c r="P85" s="4">
        <v>4.570099420196E12</v>
      </c>
      <c r="Q85" s="7"/>
      <c r="R85" s="10"/>
      <c r="S85" s="10"/>
      <c r="T85" s="16"/>
      <c r="U85" s="12"/>
      <c r="V85" s="12"/>
      <c r="W85" s="12"/>
    </row>
    <row r="86" ht="14.25" customHeight="1">
      <c r="A86" s="2" t="s">
        <v>288</v>
      </c>
      <c r="B86" s="3" t="s">
        <v>351</v>
      </c>
      <c r="C86" s="4" t="s">
        <v>444</v>
      </c>
      <c r="D86" s="5" t="s">
        <v>445</v>
      </c>
      <c r="E86" s="3">
        <v>10.0</v>
      </c>
      <c r="F86" s="3">
        <v>309.0</v>
      </c>
      <c r="G86" s="6">
        <v>3090.0</v>
      </c>
      <c r="H86" s="3" t="s">
        <v>23</v>
      </c>
      <c r="I86" s="5" t="s">
        <v>24</v>
      </c>
      <c r="J86" s="7"/>
      <c r="K86" s="7"/>
      <c r="L86" s="8" t="s">
        <v>438</v>
      </c>
      <c r="M86" s="9">
        <v>45996.0</v>
      </c>
      <c r="N86" s="5"/>
      <c r="O86" s="5"/>
      <c r="P86" s="4">
        <v>4.573432999199E12</v>
      </c>
      <c r="Q86" s="7"/>
      <c r="R86" s="10"/>
      <c r="S86" s="10"/>
      <c r="T86" s="16"/>
      <c r="U86" s="12"/>
      <c r="V86" s="12"/>
      <c r="W86" s="12"/>
    </row>
    <row r="87" ht="14.25" customHeight="1">
      <c r="A87" s="2" t="s">
        <v>293</v>
      </c>
      <c r="B87" s="3" t="s">
        <v>434</v>
      </c>
      <c r="C87" s="4" t="s">
        <v>435</v>
      </c>
      <c r="D87" s="5" t="s">
        <v>436</v>
      </c>
      <c r="E87" s="3">
        <v>2.0</v>
      </c>
      <c r="F87" s="3">
        <v>1000.0</v>
      </c>
      <c r="G87" s="6">
        <v>2000.0</v>
      </c>
      <c r="H87" s="3" t="s">
        <v>23</v>
      </c>
      <c r="I87" s="5" t="s">
        <v>31</v>
      </c>
      <c r="J87" s="7"/>
      <c r="K87" s="7"/>
      <c r="L87" s="8" t="s">
        <v>438</v>
      </c>
      <c r="M87" s="9">
        <v>45986.0</v>
      </c>
      <c r="N87" s="5"/>
      <c r="O87" s="5"/>
      <c r="P87" s="4">
        <v>4.589931680568E12</v>
      </c>
      <c r="Q87" s="7"/>
      <c r="R87" s="10"/>
      <c r="S87" s="10"/>
      <c r="T87" s="16"/>
      <c r="U87" s="12"/>
      <c r="V87" s="12"/>
      <c r="W87" s="12"/>
    </row>
    <row r="88" ht="14.25" customHeight="1">
      <c r="A88" s="2" t="s">
        <v>293</v>
      </c>
      <c r="B88" s="3" t="s">
        <v>43</v>
      </c>
      <c r="C88" s="4" t="s">
        <v>425</v>
      </c>
      <c r="D88" s="5" t="s">
        <v>426</v>
      </c>
      <c r="E88" s="3">
        <v>2.0</v>
      </c>
      <c r="F88" s="3">
        <v>4388.0</v>
      </c>
      <c r="G88" s="6">
        <v>8776.0</v>
      </c>
      <c r="H88" s="3" t="s">
        <v>23</v>
      </c>
      <c r="I88" s="5" t="s">
        <v>24</v>
      </c>
      <c r="J88" s="7"/>
      <c r="K88" s="7"/>
      <c r="L88" s="8" t="s">
        <v>438</v>
      </c>
      <c r="M88" s="9">
        <v>46000.0</v>
      </c>
      <c r="N88" s="5"/>
      <c r="O88" s="5"/>
      <c r="P88" s="4">
        <v>4.570099420158E12</v>
      </c>
      <c r="Q88" s="7"/>
      <c r="R88" s="10"/>
      <c r="S88" s="10"/>
      <c r="T88" s="16"/>
      <c r="U88" s="12"/>
      <c r="V88" s="12"/>
      <c r="W88" s="12"/>
    </row>
    <row r="89" ht="14.25" customHeight="1">
      <c r="A89" s="2" t="s">
        <v>293</v>
      </c>
      <c r="B89" s="3" t="s">
        <v>20</v>
      </c>
      <c r="C89" s="4" t="s">
        <v>446</v>
      </c>
      <c r="D89" s="5" t="s">
        <v>447</v>
      </c>
      <c r="E89" s="3">
        <v>5.0</v>
      </c>
      <c r="F89" s="3">
        <v>992.0</v>
      </c>
      <c r="G89" s="6">
        <v>4960.0</v>
      </c>
      <c r="H89" s="3" t="s">
        <v>94</v>
      </c>
      <c r="I89" s="5" t="s">
        <v>24</v>
      </c>
      <c r="J89" s="7"/>
      <c r="K89" s="7"/>
      <c r="L89" s="8" t="s">
        <v>438</v>
      </c>
      <c r="M89" s="9">
        <v>45992.0</v>
      </c>
      <c r="N89" s="5"/>
      <c r="O89" s="5"/>
      <c r="P89" s="4">
        <v>4.589717872385E12</v>
      </c>
      <c r="Q89" s="7"/>
      <c r="R89" s="10"/>
      <c r="S89" s="10"/>
      <c r="T89" s="16"/>
      <c r="U89" s="12"/>
      <c r="V89" s="12"/>
      <c r="W89" s="12"/>
    </row>
    <row r="90" ht="14.25" customHeight="1">
      <c r="A90" s="2" t="s">
        <v>293</v>
      </c>
      <c r="B90" s="3" t="s">
        <v>179</v>
      </c>
      <c r="C90" s="4">
        <v>1277.0</v>
      </c>
      <c r="D90" s="5" t="s">
        <v>322</v>
      </c>
      <c r="E90" s="3">
        <v>5.0</v>
      </c>
      <c r="F90" s="3">
        <v>1680.0</v>
      </c>
      <c r="G90" s="6">
        <v>8400.0</v>
      </c>
      <c r="H90" s="3" t="s">
        <v>23</v>
      </c>
      <c r="I90" s="5" t="s">
        <v>24</v>
      </c>
      <c r="J90" s="7"/>
      <c r="K90" s="7"/>
      <c r="L90" s="8" t="s">
        <v>448</v>
      </c>
      <c r="M90" s="9">
        <v>46006.0</v>
      </c>
      <c r="N90" s="5"/>
      <c r="O90" s="5"/>
      <c r="P90" s="4">
        <v>4.571324243276E12</v>
      </c>
      <c r="Q90" s="7"/>
      <c r="R90" s="10">
        <v>20.5</v>
      </c>
      <c r="S90" s="10" t="s">
        <v>257</v>
      </c>
      <c r="T90" s="16"/>
      <c r="U90" s="12"/>
      <c r="V90" s="12"/>
      <c r="W90" s="12"/>
    </row>
    <row r="91" ht="14.25" customHeight="1">
      <c r="A91" s="2" t="s">
        <v>293</v>
      </c>
      <c r="B91" s="3" t="s">
        <v>449</v>
      </c>
      <c r="C91" s="4" t="s">
        <v>450</v>
      </c>
      <c r="D91" s="5" t="s">
        <v>451</v>
      </c>
      <c r="E91" s="3">
        <v>1.0</v>
      </c>
      <c r="F91" s="3">
        <v>2160.0</v>
      </c>
      <c r="G91" s="6">
        <v>2160.0</v>
      </c>
      <c r="H91" s="3" t="s">
        <v>23</v>
      </c>
      <c r="I91" s="5" t="s">
        <v>24</v>
      </c>
      <c r="J91" s="7"/>
      <c r="K91" s="7"/>
      <c r="L91" s="8" t="s">
        <v>448</v>
      </c>
      <c r="M91" s="9">
        <v>46006.0</v>
      </c>
      <c r="N91" s="5"/>
      <c r="O91" s="5"/>
      <c r="P91" s="4">
        <v>4.571324249315E12</v>
      </c>
      <c r="Q91" s="7"/>
      <c r="R91" s="10"/>
      <c r="S91" s="10"/>
      <c r="T91" s="16"/>
      <c r="U91" s="12"/>
      <c r="V91" s="12"/>
      <c r="W91" s="12"/>
    </row>
    <row r="92" ht="14.25" customHeight="1">
      <c r="A92" s="2" t="s">
        <v>293</v>
      </c>
      <c r="B92" s="3" t="s">
        <v>179</v>
      </c>
      <c r="C92" s="4">
        <v>1085.0</v>
      </c>
      <c r="D92" s="5" t="s">
        <v>452</v>
      </c>
      <c r="E92" s="3">
        <v>1.0</v>
      </c>
      <c r="F92" s="3">
        <v>1140.0</v>
      </c>
      <c r="G92" s="6">
        <v>1140.0</v>
      </c>
      <c r="H92" s="3" t="s">
        <v>23</v>
      </c>
      <c r="I92" s="5" t="s">
        <v>31</v>
      </c>
      <c r="J92" s="7"/>
      <c r="K92" s="7"/>
      <c r="L92" s="8" t="s">
        <v>448</v>
      </c>
      <c r="M92" s="9">
        <v>46006.0</v>
      </c>
      <c r="N92" s="5"/>
      <c r="O92" s="5"/>
      <c r="P92" s="4">
        <v>4.571324240794E12</v>
      </c>
      <c r="Q92" s="7"/>
      <c r="R92" s="10"/>
      <c r="S92" s="10"/>
      <c r="T92" s="16"/>
      <c r="U92" s="12"/>
      <c r="V92" s="12"/>
      <c r="W92" s="12"/>
    </row>
    <row r="93" ht="14.25" customHeight="1">
      <c r="A93" s="2" t="s">
        <v>293</v>
      </c>
      <c r="B93" s="3" t="s">
        <v>46</v>
      </c>
      <c r="C93" s="4" t="s">
        <v>47</v>
      </c>
      <c r="D93" s="5" t="s">
        <v>48</v>
      </c>
      <c r="E93" s="3">
        <v>14.0</v>
      </c>
      <c r="F93" s="3">
        <v>1400.0</v>
      </c>
      <c r="G93" s="6">
        <v>19600.0</v>
      </c>
      <c r="H93" s="3" t="s">
        <v>23</v>
      </c>
      <c r="I93" s="5" t="s">
        <v>24</v>
      </c>
      <c r="J93" s="7"/>
      <c r="K93" s="7"/>
      <c r="L93" s="8" t="s">
        <v>448</v>
      </c>
      <c r="M93" s="9">
        <v>46001.0</v>
      </c>
      <c r="N93" s="5"/>
      <c r="O93" s="5"/>
      <c r="P93" s="4">
        <v>4.562309513798E12</v>
      </c>
      <c r="Q93" s="7"/>
      <c r="R93" s="10"/>
      <c r="S93" s="10"/>
      <c r="T93" s="16"/>
      <c r="U93" s="12"/>
      <c r="V93" s="12"/>
      <c r="W93" s="12"/>
    </row>
    <row r="94" ht="14.25" customHeight="1">
      <c r="A94" s="2" t="s">
        <v>288</v>
      </c>
      <c r="B94" s="3" t="s">
        <v>264</v>
      </c>
      <c r="C94" s="4" t="s">
        <v>453</v>
      </c>
      <c r="D94" s="5" t="s">
        <v>454</v>
      </c>
      <c r="E94" s="3">
        <v>1.0</v>
      </c>
      <c r="F94" s="3">
        <v>14700.0</v>
      </c>
      <c r="G94" s="6">
        <v>14700.0</v>
      </c>
      <c r="H94" s="3" t="s">
        <v>23</v>
      </c>
      <c r="I94" s="5" t="s">
        <v>31</v>
      </c>
      <c r="J94" s="7"/>
      <c r="K94" s="7"/>
      <c r="L94" s="8" t="s">
        <v>448</v>
      </c>
      <c r="M94" s="9">
        <v>45996.0</v>
      </c>
      <c r="N94" s="5"/>
      <c r="O94" s="5" t="s">
        <v>455</v>
      </c>
      <c r="P94" s="4">
        <v>4.582593588548E12</v>
      </c>
      <c r="Q94" s="7"/>
      <c r="R94" s="10"/>
      <c r="S94" s="10"/>
      <c r="T94" s="16"/>
      <c r="U94" s="12"/>
      <c r="V94" s="12"/>
      <c r="W94" s="12"/>
    </row>
    <row r="95" ht="14.25" customHeight="1">
      <c r="A95" s="2" t="s">
        <v>288</v>
      </c>
      <c r="B95" s="3" t="s">
        <v>456</v>
      </c>
      <c r="C95" s="4" t="s">
        <v>457</v>
      </c>
      <c r="D95" s="5" t="s">
        <v>458</v>
      </c>
      <c r="E95" s="3">
        <v>6.0</v>
      </c>
      <c r="F95" s="3">
        <v>2746.0</v>
      </c>
      <c r="G95" s="6">
        <v>16476.0</v>
      </c>
      <c r="H95" s="3" t="s">
        <v>307</v>
      </c>
      <c r="I95" s="5" t="s">
        <v>31</v>
      </c>
      <c r="J95" s="7"/>
      <c r="K95" s="7"/>
      <c r="L95" s="8" t="s">
        <v>448</v>
      </c>
      <c r="M95" s="9">
        <v>45996.0</v>
      </c>
      <c r="N95" s="5"/>
      <c r="O95" s="5"/>
      <c r="P95" s="4">
        <v>4.988117913733E12</v>
      </c>
      <c r="Q95" s="7"/>
      <c r="R95" s="10"/>
      <c r="S95" s="10"/>
      <c r="T95" s="16"/>
      <c r="U95" s="12"/>
      <c r="V95" s="12"/>
      <c r="W95" s="12"/>
    </row>
    <row r="96" ht="14.25" customHeight="1">
      <c r="A96" s="2" t="s">
        <v>293</v>
      </c>
      <c r="B96" s="3" t="s">
        <v>351</v>
      </c>
      <c r="C96" s="4" t="s">
        <v>459</v>
      </c>
      <c r="D96" s="5" t="s">
        <v>460</v>
      </c>
      <c r="E96" s="3">
        <v>200.0</v>
      </c>
      <c r="F96" s="3">
        <v>198.0</v>
      </c>
      <c r="G96" s="6">
        <v>39600.0</v>
      </c>
      <c r="H96" s="3" t="s">
        <v>94</v>
      </c>
      <c r="I96" s="5" t="s">
        <v>24</v>
      </c>
      <c r="J96" s="7"/>
      <c r="K96" s="7"/>
      <c r="L96" s="8" t="s">
        <v>461</v>
      </c>
      <c r="M96" s="9">
        <v>46003.0</v>
      </c>
      <c r="N96" s="5"/>
      <c r="O96" s="5"/>
      <c r="P96" s="4">
        <v>4.573432992282E12</v>
      </c>
      <c r="Q96" s="7"/>
      <c r="R96" s="10">
        <v>12.6</v>
      </c>
      <c r="S96" s="10" t="s">
        <v>462</v>
      </c>
      <c r="T96" s="16"/>
      <c r="U96" s="12"/>
      <c r="V96" s="12"/>
      <c r="W96" s="12"/>
    </row>
    <row r="97" ht="14.25" customHeight="1">
      <c r="A97" s="2" t="s">
        <v>293</v>
      </c>
      <c r="B97" s="3" t="s">
        <v>463</v>
      </c>
      <c r="C97" s="4" t="s">
        <v>464</v>
      </c>
      <c r="D97" s="5" t="s">
        <v>465</v>
      </c>
      <c r="E97" s="3">
        <v>5.0</v>
      </c>
      <c r="F97" s="3">
        <v>3740.0</v>
      </c>
      <c r="G97" s="6">
        <v>18700.0</v>
      </c>
      <c r="H97" s="3" t="s">
        <v>23</v>
      </c>
      <c r="I97" s="5" t="s">
        <v>24</v>
      </c>
      <c r="J97" s="7"/>
      <c r="K97" s="7"/>
      <c r="L97" s="8" t="s">
        <v>466</v>
      </c>
      <c r="M97" s="9">
        <v>46002.0</v>
      </c>
      <c r="N97" s="5"/>
      <c r="O97" s="5" t="s">
        <v>467</v>
      </c>
      <c r="P97" s="4">
        <v>4.582616152572E12</v>
      </c>
      <c r="Q97" s="7"/>
      <c r="R97" s="10">
        <v>9.9</v>
      </c>
      <c r="S97" s="10" t="s">
        <v>468</v>
      </c>
      <c r="T97" s="16"/>
      <c r="U97" s="12"/>
      <c r="V97" s="12"/>
      <c r="W97" s="12"/>
    </row>
    <row r="98" ht="14.25" customHeight="1">
      <c r="A98" s="2" t="s">
        <v>293</v>
      </c>
      <c r="B98" s="3" t="s">
        <v>88</v>
      </c>
      <c r="C98" s="4" t="s">
        <v>469</v>
      </c>
      <c r="D98" s="5" t="s">
        <v>470</v>
      </c>
      <c r="E98" s="3">
        <v>10.0</v>
      </c>
      <c r="F98" s="3">
        <v>2033.0</v>
      </c>
      <c r="G98" s="6">
        <v>20330.0</v>
      </c>
      <c r="H98" s="3" t="s">
        <v>23</v>
      </c>
      <c r="I98" s="5" t="s">
        <v>24</v>
      </c>
      <c r="J98" s="7"/>
      <c r="K98" s="7"/>
      <c r="L98" s="8" t="s">
        <v>466</v>
      </c>
      <c r="M98" s="9">
        <v>45980.0</v>
      </c>
      <c r="N98" s="5"/>
      <c r="O98" s="5"/>
      <c r="P98" s="4">
        <v>4.571360814034E12</v>
      </c>
      <c r="Q98" s="7"/>
      <c r="R98" s="10"/>
      <c r="S98" s="10"/>
      <c r="T98" s="16"/>
      <c r="U98" s="12"/>
      <c r="V98" s="12"/>
      <c r="W98" s="12"/>
    </row>
    <row r="99" ht="14.25" customHeight="1">
      <c r="A99" s="2" t="s">
        <v>293</v>
      </c>
      <c r="B99" s="3" t="s">
        <v>46</v>
      </c>
      <c r="C99" s="4" t="s">
        <v>47</v>
      </c>
      <c r="D99" s="5" t="s">
        <v>48</v>
      </c>
      <c r="E99" s="3">
        <v>36.0</v>
      </c>
      <c r="F99" s="3">
        <v>1400.0</v>
      </c>
      <c r="G99" s="6">
        <v>50400.0</v>
      </c>
      <c r="H99" s="3" t="s">
        <v>23</v>
      </c>
      <c r="I99" s="5" t="s">
        <v>24</v>
      </c>
      <c r="J99" s="7"/>
      <c r="K99" s="7"/>
      <c r="L99" s="8" t="s">
        <v>471</v>
      </c>
      <c r="M99" s="9">
        <v>46001.0</v>
      </c>
      <c r="N99" s="5"/>
      <c r="O99" s="5"/>
      <c r="P99" s="4">
        <v>4.562309513798E12</v>
      </c>
      <c r="Q99" s="7"/>
      <c r="R99" s="10">
        <v>18.4</v>
      </c>
      <c r="S99" s="10" t="s">
        <v>190</v>
      </c>
      <c r="T99" s="16"/>
      <c r="U99" s="12"/>
      <c r="V99" s="12"/>
      <c r="W99" s="12"/>
    </row>
    <row r="100" ht="14.25" customHeight="1">
      <c r="A100" s="2" t="s">
        <v>293</v>
      </c>
      <c r="B100" s="3" t="s">
        <v>260</v>
      </c>
      <c r="C100" s="4" t="s">
        <v>472</v>
      </c>
      <c r="D100" s="5" t="s">
        <v>473</v>
      </c>
      <c r="E100" s="3">
        <v>1.0</v>
      </c>
      <c r="F100" s="3">
        <v>1433.0</v>
      </c>
      <c r="G100" s="6">
        <v>1433.0</v>
      </c>
      <c r="H100" s="3" t="s">
        <v>23</v>
      </c>
      <c r="I100" s="5" t="s">
        <v>24</v>
      </c>
      <c r="J100" s="7"/>
      <c r="K100" s="7"/>
      <c r="L100" s="8" t="s">
        <v>474</v>
      </c>
      <c r="M100" s="9">
        <v>46006.0</v>
      </c>
      <c r="N100" s="5"/>
      <c r="O100" s="5"/>
      <c r="P100" s="4">
        <v>4.580214776046E12</v>
      </c>
      <c r="Q100" s="7"/>
      <c r="R100" s="10">
        <v>24.4</v>
      </c>
      <c r="S100" s="10" t="s">
        <v>257</v>
      </c>
      <c r="T100" s="16"/>
      <c r="U100" s="12"/>
      <c r="V100" s="12"/>
      <c r="W100" s="12"/>
    </row>
    <row r="101" ht="14.25" customHeight="1">
      <c r="A101" s="2" t="s">
        <v>293</v>
      </c>
      <c r="B101" s="3" t="s">
        <v>475</v>
      </c>
      <c r="C101" s="4" t="s">
        <v>476</v>
      </c>
      <c r="D101" s="5" t="s">
        <v>477</v>
      </c>
      <c r="E101" s="3">
        <v>1.0</v>
      </c>
      <c r="F101" s="3">
        <v>1330.0</v>
      </c>
      <c r="G101" s="6">
        <v>1330.0</v>
      </c>
      <c r="H101" s="3" t="s">
        <v>23</v>
      </c>
      <c r="I101" s="5" t="s">
        <v>31</v>
      </c>
      <c r="J101" s="7"/>
      <c r="K101" s="7"/>
      <c r="L101" s="8" t="s">
        <v>474</v>
      </c>
      <c r="M101" s="9">
        <v>46006.0</v>
      </c>
      <c r="N101" s="5"/>
      <c r="O101" s="5"/>
      <c r="P101" s="4">
        <v>4.582593570284E12</v>
      </c>
      <c r="Q101" s="7"/>
      <c r="R101" s="10"/>
      <c r="S101" s="10"/>
      <c r="T101" s="16"/>
      <c r="U101" s="12"/>
      <c r="V101" s="12"/>
      <c r="W101" s="12"/>
    </row>
    <row r="102" ht="14.25" customHeight="1">
      <c r="A102" s="2" t="s">
        <v>293</v>
      </c>
      <c r="B102" s="3" t="s">
        <v>478</v>
      </c>
      <c r="C102" s="4" t="s">
        <v>479</v>
      </c>
      <c r="D102" s="5" t="s">
        <v>480</v>
      </c>
      <c r="E102" s="3">
        <v>1.0</v>
      </c>
      <c r="F102" s="3">
        <v>5160.0</v>
      </c>
      <c r="G102" s="6">
        <v>5160.0</v>
      </c>
      <c r="H102" s="3" t="s">
        <v>23</v>
      </c>
      <c r="I102" s="5" t="s">
        <v>31</v>
      </c>
      <c r="J102" s="7"/>
      <c r="K102" s="7"/>
      <c r="L102" s="8" t="s">
        <v>474</v>
      </c>
      <c r="M102" s="9">
        <v>46006.0</v>
      </c>
      <c r="N102" s="5"/>
      <c r="O102" s="5"/>
      <c r="P102" s="4">
        <v>4.580674852786E12</v>
      </c>
      <c r="Q102" s="7"/>
      <c r="R102" s="10"/>
      <c r="S102" s="10"/>
      <c r="T102" s="16"/>
      <c r="U102" s="12"/>
      <c r="V102" s="12"/>
      <c r="W102" s="12"/>
    </row>
    <row r="103" ht="14.25" customHeight="1">
      <c r="A103" s="2" t="s">
        <v>293</v>
      </c>
      <c r="B103" s="3" t="s">
        <v>244</v>
      </c>
      <c r="C103" s="4" t="s">
        <v>481</v>
      </c>
      <c r="D103" s="5" t="s">
        <v>482</v>
      </c>
      <c r="E103" s="3">
        <v>1.0</v>
      </c>
      <c r="F103" s="3">
        <v>2205.0</v>
      </c>
      <c r="G103" s="6">
        <v>2205.0</v>
      </c>
      <c r="H103" s="3" t="s">
        <v>23</v>
      </c>
      <c r="I103" s="5" t="s">
        <v>24</v>
      </c>
      <c r="J103" s="7"/>
      <c r="K103" s="7"/>
      <c r="L103" s="8" t="s">
        <v>474</v>
      </c>
      <c r="M103" s="9">
        <v>46006.0</v>
      </c>
      <c r="N103" s="5"/>
      <c r="O103" s="5"/>
      <c r="P103" s="4">
        <v>4.988118642939E12</v>
      </c>
      <c r="Q103" s="7"/>
      <c r="R103" s="10"/>
      <c r="S103" s="10"/>
      <c r="T103" s="16"/>
      <c r="U103" s="12"/>
      <c r="V103" s="12"/>
      <c r="W103" s="12"/>
    </row>
    <row r="104" ht="14.25" customHeight="1">
      <c r="A104" s="2" t="s">
        <v>293</v>
      </c>
      <c r="B104" s="3" t="s">
        <v>483</v>
      </c>
      <c r="C104" s="4" t="s">
        <v>484</v>
      </c>
      <c r="D104" s="5" t="s">
        <v>485</v>
      </c>
      <c r="E104" s="3">
        <v>1.0</v>
      </c>
      <c r="F104" s="3">
        <v>2117.0</v>
      </c>
      <c r="G104" s="6">
        <v>2117.0</v>
      </c>
      <c r="H104" s="3" t="s">
        <v>23</v>
      </c>
      <c r="I104" s="5" t="s">
        <v>24</v>
      </c>
      <c r="J104" s="7"/>
      <c r="K104" s="7"/>
      <c r="L104" s="8" t="s">
        <v>474</v>
      </c>
      <c r="M104" s="9">
        <v>46006.0</v>
      </c>
      <c r="N104" s="5"/>
      <c r="O104" s="5"/>
      <c r="P104" s="4">
        <v>4.573375730613E12</v>
      </c>
      <c r="Q104" s="7"/>
      <c r="R104" s="10"/>
      <c r="S104" s="10"/>
      <c r="T104" s="16"/>
      <c r="U104" s="12"/>
      <c r="V104" s="12"/>
      <c r="W104" s="12"/>
    </row>
    <row r="105" ht="14.25" customHeight="1">
      <c r="A105" s="2" t="s">
        <v>293</v>
      </c>
      <c r="B105" s="3" t="s">
        <v>463</v>
      </c>
      <c r="C105" s="4" t="s">
        <v>486</v>
      </c>
      <c r="D105" s="5" t="s">
        <v>487</v>
      </c>
      <c r="E105" s="3">
        <v>5.0</v>
      </c>
      <c r="F105" s="3">
        <v>2170.0</v>
      </c>
      <c r="G105" s="6">
        <v>10850.0</v>
      </c>
      <c r="H105" s="3" t="s">
        <v>23</v>
      </c>
      <c r="I105" s="5" t="s">
        <v>24</v>
      </c>
      <c r="J105" s="7"/>
      <c r="K105" s="7"/>
      <c r="L105" s="8" t="s">
        <v>474</v>
      </c>
      <c r="M105" s="9">
        <v>46006.0</v>
      </c>
      <c r="N105" s="5"/>
      <c r="O105" s="5" t="s">
        <v>488</v>
      </c>
      <c r="P105" s="4">
        <v>4.582616156778E12</v>
      </c>
      <c r="Q105" s="7"/>
      <c r="R105" s="10"/>
      <c r="S105" s="10"/>
      <c r="T105" s="16"/>
      <c r="U105" s="12"/>
      <c r="V105" s="12"/>
      <c r="W105" s="12"/>
    </row>
    <row r="106" ht="14.25" customHeight="1">
      <c r="A106" s="2" t="s">
        <v>293</v>
      </c>
      <c r="B106" s="3" t="s">
        <v>88</v>
      </c>
      <c r="C106" s="4" t="s">
        <v>489</v>
      </c>
      <c r="D106" s="5" t="s">
        <v>490</v>
      </c>
      <c r="E106" s="3">
        <v>10.0</v>
      </c>
      <c r="F106" s="3">
        <v>2183.0</v>
      </c>
      <c r="G106" s="6">
        <v>21830.0</v>
      </c>
      <c r="H106" s="3" t="s">
        <v>23</v>
      </c>
      <c r="I106" s="5" t="s">
        <v>24</v>
      </c>
      <c r="J106" s="7"/>
      <c r="K106" s="7"/>
      <c r="L106" s="8" t="s">
        <v>474</v>
      </c>
      <c r="M106" s="9">
        <v>46006.0</v>
      </c>
      <c r="N106" s="5"/>
      <c r="O106" s="5"/>
      <c r="P106" s="4">
        <v>4.571360813785E12</v>
      </c>
      <c r="Q106" s="7"/>
      <c r="R106" s="10"/>
      <c r="S106" s="10"/>
      <c r="T106" s="16"/>
      <c r="U106" s="12"/>
      <c r="V106" s="12"/>
      <c r="W106" s="12"/>
    </row>
    <row r="107" ht="14.25" customHeight="1">
      <c r="A107" s="2" t="s">
        <v>293</v>
      </c>
      <c r="B107" s="3" t="s">
        <v>475</v>
      </c>
      <c r="C107" s="4" t="s">
        <v>491</v>
      </c>
      <c r="D107" s="5" t="s">
        <v>492</v>
      </c>
      <c r="E107" s="3">
        <v>1.0</v>
      </c>
      <c r="F107" s="3">
        <v>1900.0</v>
      </c>
      <c r="G107" s="6">
        <v>1900.0</v>
      </c>
      <c r="H107" s="3" t="s">
        <v>23</v>
      </c>
      <c r="I107" s="5" t="s">
        <v>31</v>
      </c>
      <c r="J107" s="7"/>
      <c r="K107" s="7"/>
      <c r="L107" s="8" t="s">
        <v>474</v>
      </c>
      <c r="M107" s="9">
        <v>46006.0</v>
      </c>
      <c r="N107" s="5"/>
      <c r="O107" s="5"/>
      <c r="P107" s="4">
        <v>4.582593570567E12</v>
      </c>
      <c r="Q107" s="7"/>
      <c r="R107" s="10"/>
      <c r="S107" s="10"/>
      <c r="T107" s="16"/>
      <c r="U107" s="12"/>
      <c r="V107" s="12"/>
      <c r="W107" s="12"/>
    </row>
    <row r="108" ht="14.25" customHeight="1">
      <c r="A108" s="2" t="s">
        <v>293</v>
      </c>
      <c r="B108" s="3" t="s">
        <v>475</v>
      </c>
      <c r="C108" s="4" t="s">
        <v>493</v>
      </c>
      <c r="D108" s="5" t="s">
        <v>494</v>
      </c>
      <c r="E108" s="3">
        <v>1.0</v>
      </c>
      <c r="F108" s="3">
        <v>2040.0</v>
      </c>
      <c r="G108" s="6">
        <v>2040.0</v>
      </c>
      <c r="H108" s="3" t="s">
        <v>23</v>
      </c>
      <c r="I108" s="5" t="s">
        <v>31</v>
      </c>
      <c r="J108" s="7"/>
      <c r="K108" s="7"/>
      <c r="L108" s="8" t="s">
        <v>474</v>
      </c>
      <c r="M108" s="9">
        <v>46006.0</v>
      </c>
      <c r="N108" s="5"/>
      <c r="O108" s="5"/>
      <c r="P108" s="4">
        <v>4.582593570574E12</v>
      </c>
      <c r="Q108" s="7"/>
      <c r="R108" s="10"/>
      <c r="S108" s="10"/>
      <c r="T108" s="16"/>
      <c r="U108" s="12"/>
      <c r="V108" s="12"/>
      <c r="W108" s="12"/>
    </row>
    <row r="109" ht="14.25" customHeight="1">
      <c r="A109" s="2" t="s">
        <v>293</v>
      </c>
      <c r="B109" s="3" t="s">
        <v>244</v>
      </c>
      <c r="C109" s="4" t="s">
        <v>495</v>
      </c>
      <c r="D109" s="5" t="s">
        <v>496</v>
      </c>
      <c r="E109" s="3">
        <v>1.0</v>
      </c>
      <c r="F109" s="3">
        <v>2067.0</v>
      </c>
      <c r="G109" s="6">
        <v>2067.0</v>
      </c>
      <c r="H109" s="3" t="s">
        <v>23</v>
      </c>
      <c r="I109" s="5" t="s">
        <v>24</v>
      </c>
      <c r="J109" s="7"/>
      <c r="K109" s="7"/>
      <c r="L109" s="8" t="s">
        <v>474</v>
      </c>
      <c r="M109" s="9">
        <v>46006.0</v>
      </c>
      <c r="N109" s="5"/>
      <c r="O109" s="5"/>
      <c r="P109" s="4">
        <v>4.988118642267E12</v>
      </c>
      <c r="Q109" s="7"/>
      <c r="R109" s="10"/>
      <c r="S109" s="10"/>
      <c r="T109" s="16"/>
      <c r="U109" s="12"/>
      <c r="V109" s="12"/>
      <c r="W109" s="12"/>
    </row>
    <row r="110" ht="14.25" customHeight="1">
      <c r="A110" s="2" t="s">
        <v>288</v>
      </c>
      <c r="B110" s="3" t="s">
        <v>244</v>
      </c>
      <c r="C110" s="4" t="s">
        <v>497</v>
      </c>
      <c r="D110" s="5" t="s">
        <v>498</v>
      </c>
      <c r="E110" s="3">
        <v>5.0</v>
      </c>
      <c r="F110" s="3">
        <v>3740.0</v>
      </c>
      <c r="G110" s="6">
        <v>18700.0</v>
      </c>
      <c r="H110" s="3" t="s">
        <v>23</v>
      </c>
      <c r="I110" s="5" t="s">
        <v>24</v>
      </c>
      <c r="J110" s="7"/>
      <c r="K110" s="7"/>
      <c r="L110" s="8" t="s">
        <v>474</v>
      </c>
      <c r="M110" s="9">
        <v>45996.0</v>
      </c>
      <c r="N110" s="5"/>
      <c r="O110" s="5"/>
      <c r="P110" s="4">
        <v>4.582616158079E12</v>
      </c>
      <c r="Q110" s="7"/>
      <c r="R110" s="10"/>
      <c r="S110" s="10"/>
      <c r="T110" s="16"/>
      <c r="U110" s="12"/>
      <c r="V110" s="12"/>
      <c r="W110" s="12"/>
    </row>
    <row r="111" ht="14.25" customHeight="1">
      <c r="A111" s="2" t="s">
        <v>293</v>
      </c>
      <c r="B111" s="3" t="s">
        <v>499</v>
      </c>
      <c r="C111" s="4" t="s">
        <v>500</v>
      </c>
      <c r="D111" s="5" t="s">
        <v>501</v>
      </c>
      <c r="E111" s="3">
        <v>10.0</v>
      </c>
      <c r="F111" s="3">
        <v>1860.0</v>
      </c>
      <c r="G111" s="6">
        <v>18600.0</v>
      </c>
      <c r="H111" s="3" t="s">
        <v>23</v>
      </c>
      <c r="I111" s="5" t="s">
        <v>24</v>
      </c>
      <c r="J111" s="7"/>
      <c r="K111" s="7"/>
      <c r="L111" s="8" t="s">
        <v>474</v>
      </c>
      <c r="M111" s="9">
        <v>46006.0</v>
      </c>
      <c r="N111" s="5"/>
      <c r="O111" s="5" t="s">
        <v>502</v>
      </c>
      <c r="P111" s="4">
        <v>4.582616147158E12</v>
      </c>
      <c r="Q111" s="7"/>
      <c r="R111" s="10"/>
      <c r="S111" s="10"/>
      <c r="T111" s="16"/>
      <c r="U111" s="12"/>
      <c r="V111" s="12"/>
      <c r="W111" s="12"/>
    </row>
    <row r="112" ht="14.25" customHeight="1">
      <c r="A112" s="2" t="s">
        <v>293</v>
      </c>
      <c r="B112" s="3" t="s">
        <v>351</v>
      </c>
      <c r="C112" s="4" t="s">
        <v>503</v>
      </c>
      <c r="D112" s="5" t="s">
        <v>504</v>
      </c>
      <c r="E112" s="3">
        <v>1.0</v>
      </c>
      <c r="F112" s="3">
        <v>970.0</v>
      </c>
      <c r="G112" s="6">
        <v>970.0</v>
      </c>
      <c r="H112" s="3" t="s">
        <v>23</v>
      </c>
      <c r="I112" s="5" t="s">
        <v>31</v>
      </c>
      <c r="J112" s="7"/>
      <c r="K112" s="7"/>
      <c r="L112" s="8" t="s">
        <v>505</v>
      </c>
      <c r="M112" s="9">
        <v>46006.0</v>
      </c>
      <c r="N112" s="5"/>
      <c r="O112" s="5"/>
      <c r="P112" s="4">
        <v>4.573432996662E12</v>
      </c>
      <c r="Q112" s="7"/>
      <c r="R112" s="10">
        <v>24.8</v>
      </c>
      <c r="S112" s="10" t="s">
        <v>324</v>
      </c>
      <c r="T112" s="16"/>
      <c r="U112" s="12"/>
      <c r="V112" s="12"/>
      <c r="W112" s="12"/>
    </row>
    <row r="113" ht="14.25" customHeight="1">
      <c r="A113" s="2" t="s">
        <v>293</v>
      </c>
      <c r="B113" s="3" t="s">
        <v>49</v>
      </c>
      <c r="C113" s="4">
        <v>4.526374370625E12</v>
      </c>
      <c r="D113" s="5" t="s">
        <v>506</v>
      </c>
      <c r="E113" s="3">
        <v>10.0</v>
      </c>
      <c r="F113" s="3">
        <v>1874.0</v>
      </c>
      <c r="G113" s="6">
        <v>18740.0</v>
      </c>
      <c r="H113" s="3" t="s">
        <v>23</v>
      </c>
      <c r="I113" s="5" t="s">
        <v>24</v>
      </c>
      <c r="J113" s="7"/>
      <c r="K113" s="7"/>
      <c r="L113" s="8" t="s">
        <v>505</v>
      </c>
      <c r="M113" s="9">
        <v>46006.0</v>
      </c>
      <c r="N113" s="5"/>
      <c r="O113" s="5"/>
      <c r="P113" s="4">
        <v>4.526374370625E12</v>
      </c>
      <c r="Q113" s="7"/>
      <c r="R113" s="10"/>
      <c r="S113" s="10"/>
      <c r="T113" s="16"/>
      <c r="U113" s="12"/>
      <c r="V113" s="12"/>
      <c r="W113" s="12"/>
    </row>
    <row r="114" ht="14.25" customHeight="1">
      <c r="A114" s="2" t="s">
        <v>293</v>
      </c>
      <c r="B114" s="3" t="s">
        <v>351</v>
      </c>
      <c r="C114" s="4" t="s">
        <v>507</v>
      </c>
      <c r="D114" s="5" t="s">
        <v>508</v>
      </c>
      <c r="E114" s="3">
        <v>2.0</v>
      </c>
      <c r="F114" s="3">
        <v>1632.0</v>
      </c>
      <c r="G114" s="6">
        <v>3264.0</v>
      </c>
      <c r="H114" s="3" t="s">
        <v>23</v>
      </c>
      <c r="I114" s="5" t="s">
        <v>31</v>
      </c>
      <c r="J114" s="7"/>
      <c r="K114" s="7"/>
      <c r="L114" s="8" t="s">
        <v>505</v>
      </c>
      <c r="M114" s="9">
        <v>46007.0</v>
      </c>
      <c r="N114" s="5"/>
      <c r="O114" s="5"/>
      <c r="P114" s="4">
        <v>4.573432997478E12</v>
      </c>
      <c r="Q114" s="7"/>
      <c r="R114" s="10"/>
      <c r="S114" s="10"/>
      <c r="T114" s="16"/>
      <c r="U114" s="12"/>
      <c r="V114" s="12"/>
      <c r="W114" s="12"/>
    </row>
    <row r="115" ht="14.25" customHeight="1">
      <c r="A115" s="2" t="s">
        <v>293</v>
      </c>
      <c r="B115" s="3" t="s">
        <v>363</v>
      </c>
      <c r="C115" s="4" t="s">
        <v>509</v>
      </c>
      <c r="D115" s="5" t="s">
        <v>510</v>
      </c>
      <c r="E115" s="3">
        <v>5.0</v>
      </c>
      <c r="F115" s="3">
        <v>1945.0</v>
      </c>
      <c r="G115" s="6">
        <v>9725.0</v>
      </c>
      <c r="H115" s="3" t="s">
        <v>23</v>
      </c>
      <c r="I115" s="5" t="s">
        <v>24</v>
      </c>
      <c r="J115" s="7"/>
      <c r="K115" s="7"/>
      <c r="L115" s="8" t="s">
        <v>505</v>
      </c>
      <c r="M115" s="9">
        <v>45988.0</v>
      </c>
      <c r="N115" s="5"/>
      <c r="O115" s="5"/>
      <c r="P115" s="4">
        <v>4.582474868196E12</v>
      </c>
      <c r="Q115" s="7"/>
      <c r="R115" s="10"/>
      <c r="S115" s="10"/>
      <c r="T115" s="16"/>
      <c r="U115" s="12"/>
      <c r="V115" s="12"/>
      <c r="W115" s="12"/>
    </row>
    <row r="116" ht="14.25" customHeight="1">
      <c r="A116" s="2" t="s">
        <v>293</v>
      </c>
      <c r="B116" s="3" t="s">
        <v>363</v>
      </c>
      <c r="C116" s="4" t="s">
        <v>511</v>
      </c>
      <c r="D116" s="5" t="s">
        <v>512</v>
      </c>
      <c r="E116" s="3">
        <v>5.0</v>
      </c>
      <c r="F116" s="3">
        <v>3520.0</v>
      </c>
      <c r="G116" s="6">
        <v>17600.0</v>
      </c>
      <c r="H116" s="3" t="s">
        <v>23</v>
      </c>
      <c r="I116" s="5" t="s">
        <v>31</v>
      </c>
      <c r="J116" s="7"/>
      <c r="K116" s="7"/>
      <c r="L116" s="8" t="s">
        <v>505</v>
      </c>
      <c r="M116" s="9">
        <v>45988.0</v>
      </c>
      <c r="N116" s="5"/>
      <c r="O116" s="5"/>
      <c r="P116" s="4">
        <v>4.582474868165E12</v>
      </c>
      <c r="Q116" s="7"/>
      <c r="R116" s="10"/>
      <c r="S116" s="10"/>
      <c r="T116" s="16"/>
      <c r="U116" s="12"/>
      <c r="V116" s="12"/>
      <c r="W116" s="12"/>
    </row>
    <row r="117" ht="14.25" customHeight="1">
      <c r="A117" s="2" t="s">
        <v>293</v>
      </c>
      <c r="B117" s="3" t="s">
        <v>363</v>
      </c>
      <c r="C117" s="4" t="s">
        <v>513</v>
      </c>
      <c r="D117" s="5" t="s">
        <v>514</v>
      </c>
      <c r="E117" s="3">
        <v>5.0</v>
      </c>
      <c r="F117" s="3">
        <v>3520.0</v>
      </c>
      <c r="G117" s="6">
        <v>17600.0</v>
      </c>
      <c r="H117" s="3" t="s">
        <v>23</v>
      </c>
      <c r="I117" s="5" t="s">
        <v>31</v>
      </c>
      <c r="J117" s="7"/>
      <c r="K117" s="7"/>
      <c r="L117" s="8" t="s">
        <v>505</v>
      </c>
      <c r="M117" s="9">
        <v>45988.0</v>
      </c>
      <c r="N117" s="5"/>
      <c r="O117" s="5"/>
      <c r="P117" s="4">
        <v>4.582474868189E12</v>
      </c>
      <c r="Q117" s="7"/>
      <c r="R117" s="10"/>
      <c r="S117" s="10"/>
      <c r="T117" s="16"/>
      <c r="U117" s="12"/>
      <c r="V117" s="12"/>
      <c r="W117" s="12"/>
    </row>
    <row r="118" ht="14.25" customHeight="1">
      <c r="A118" s="2" t="s">
        <v>293</v>
      </c>
      <c r="B118" s="3" t="s">
        <v>363</v>
      </c>
      <c r="C118" s="4" t="s">
        <v>515</v>
      </c>
      <c r="D118" s="5" t="s">
        <v>516</v>
      </c>
      <c r="E118" s="3">
        <v>5.0</v>
      </c>
      <c r="F118" s="3">
        <v>3520.0</v>
      </c>
      <c r="G118" s="6">
        <v>17600.0</v>
      </c>
      <c r="H118" s="3" t="s">
        <v>23</v>
      </c>
      <c r="I118" s="5" t="s">
        <v>31</v>
      </c>
      <c r="J118" s="7"/>
      <c r="K118" s="7"/>
      <c r="L118" s="8" t="s">
        <v>505</v>
      </c>
      <c r="M118" s="9">
        <v>45988.0</v>
      </c>
      <c r="N118" s="5"/>
      <c r="O118" s="5"/>
      <c r="P118" s="4">
        <v>4.582474868172E12</v>
      </c>
      <c r="Q118" s="7"/>
      <c r="R118" s="10"/>
      <c r="S118" s="10"/>
      <c r="T118" s="16"/>
      <c r="U118" s="12"/>
      <c r="V118" s="12"/>
      <c r="W118" s="12"/>
    </row>
    <row r="119" ht="14.25" customHeight="1">
      <c r="A119" s="2" t="s">
        <v>302</v>
      </c>
      <c r="B119" s="3" t="s">
        <v>356</v>
      </c>
      <c r="C119" s="4" t="s">
        <v>517</v>
      </c>
      <c r="D119" s="5" t="s">
        <v>518</v>
      </c>
      <c r="E119" s="3">
        <v>1.0</v>
      </c>
      <c r="F119" s="3">
        <v>882.0</v>
      </c>
      <c r="G119" s="6">
        <v>882.0</v>
      </c>
      <c r="H119" s="3" t="s">
        <v>23</v>
      </c>
      <c r="I119" s="5" t="s">
        <v>24</v>
      </c>
      <c r="J119" s="7"/>
      <c r="K119" s="7"/>
      <c r="L119" s="8" t="s">
        <v>505</v>
      </c>
      <c r="M119" s="9">
        <v>45972.0</v>
      </c>
      <c r="N119" s="5"/>
      <c r="O119" s="5"/>
      <c r="P119" s="4">
        <v>4.571355630045E12</v>
      </c>
      <c r="Q119" s="7"/>
      <c r="R119" s="10"/>
      <c r="S119" s="10"/>
      <c r="T119" s="16"/>
      <c r="U119" s="12"/>
      <c r="V119" s="12"/>
      <c r="W119" s="12"/>
    </row>
    <row r="120" ht="14.25" customHeight="1">
      <c r="A120" s="2" t="s">
        <v>293</v>
      </c>
      <c r="B120" s="3" t="s">
        <v>46</v>
      </c>
      <c r="C120" s="4" t="s">
        <v>519</v>
      </c>
      <c r="D120" s="5" t="s">
        <v>520</v>
      </c>
      <c r="E120" s="3">
        <v>2.0</v>
      </c>
      <c r="F120" s="3">
        <v>1150.0</v>
      </c>
      <c r="G120" s="6">
        <v>2300.0</v>
      </c>
      <c r="H120" s="3" t="s">
        <v>23</v>
      </c>
      <c r="I120" s="5" t="s">
        <v>24</v>
      </c>
      <c r="J120" s="7"/>
      <c r="K120" s="7"/>
      <c r="L120" s="8" t="s">
        <v>505</v>
      </c>
      <c r="M120" s="9">
        <v>46008.0</v>
      </c>
      <c r="N120" s="5"/>
      <c r="O120" s="5" t="s">
        <v>204</v>
      </c>
      <c r="P120" s="4">
        <v>4.56230951106E12</v>
      </c>
      <c r="Q120" s="7"/>
      <c r="R120" s="10"/>
      <c r="S120" s="10"/>
      <c r="T120" s="16"/>
      <c r="U120" s="12"/>
      <c r="V120" s="12"/>
      <c r="W120" s="12"/>
    </row>
    <row r="121" ht="14.25" customHeight="1">
      <c r="A121" s="2" t="s">
        <v>288</v>
      </c>
      <c r="B121" s="3" t="s">
        <v>40</v>
      </c>
      <c r="C121" s="4" t="s">
        <v>239</v>
      </c>
      <c r="D121" s="5" t="s">
        <v>240</v>
      </c>
      <c r="E121" s="3">
        <v>35.0</v>
      </c>
      <c r="F121" s="3">
        <v>1270.0</v>
      </c>
      <c r="G121" s="6">
        <v>44450.0</v>
      </c>
      <c r="H121" s="3" t="s">
        <v>23</v>
      </c>
      <c r="I121" s="5" t="s">
        <v>24</v>
      </c>
      <c r="J121" s="7"/>
      <c r="K121" s="7"/>
      <c r="L121" s="8" t="s">
        <v>521</v>
      </c>
      <c r="M121" s="9">
        <v>45996.0</v>
      </c>
      <c r="N121" s="5"/>
      <c r="O121" s="5"/>
      <c r="P121" s="4">
        <v>4.580490000354E12</v>
      </c>
      <c r="Q121" s="7"/>
      <c r="R121" s="10">
        <v>24.9</v>
      </c>
      <c r="S121" s="10" t="s">
        <v>257</v>
      </c>
      <c r="T121" s="16"/>
      <c r="U121" s="12"/>
      <c r="V121" s="12"/>
      <c r="W121" s="12"/>
    </row>
    <row r="122" ht="14.25" customHeight="1">
      <c r="A122" s="2" t="s">
        <v>293</v>
      </c>
      <c r="B122" s="3" t="s">
        <v>179</v>
      </c>
      <c r="C122" s="4">
        <v>1191.0</v>
      </c>
      <c r="D122" s="5" t="s">
        <v>522</v>
      </c>
      <c r="E122" s="3">
        <v>3.0</v>
      </c>
      <c r="F122" s="3">
        <v>1680.0</v>
      </c>
      <c r="G122" s="6">
        <v>5040.0</v>
      </c>
      <c r="H122" s="3" t="s">
        <v>23</v>
      </c>
      <c r="I122" s="5" t="s">
        <v>24</v>
      </c>
      <c r="J122" s="7"/>
      <c r="K122" s="7"/>
      <c r="L122" s="8" t="s">
        <v>521</v>
      </c>
      <c r="M122" s="9">
        <v>46008.0</v>
      </c>
      <c r="N122" s="5"/>
      <c r="O122" s="5"/>
      <c r="P122" s="4">
        <v>4.571324241746E12</v>
      </c>
      <c r="Q122" s="7"/>
      <c r="R122" s="10"/>
      <c r="S122" s="10"/>
      <c r="T122" s="16"/>
      <c r="U122" s="12"/>
      <c r="V122" s="12"/>
      <c r="W122" s="12"/>
    </row>
    <row r="123" ht="14.25" customHeight="1">
      <c r="A123" s="2" t="s">
        <v>293</v>
      </c>
      <c r="B123" s="3" t="s">
        <v>179</v>
      </c>
      <c r="C123" s="4">
        <v>1256.0</v>
      </c>
      <c r="D123" s="5" t="s">
        <v>523</v>
      </c>
      <c r="E123" s="3">
        <v>5.0</v>
      </c>
      <c r="F123" s="3">
        <v>1620.0</v>
      </c>
      <c r="G123" s="6">
        <v>8100.0</v>
      </c>
      <c r="H123" s="3" t="s">
        <v>23</v>
      </c>
      <c r="I123" s="5" t="s">
        <v>31</v>
      </c>
      <c r="J123" s="7"/>
      <c r="K123" s="7"/>
      <c r="L123" s="8" t="s">
        <v>521</v>
      </c>
      <c r="M123" s="9">
        <v>46008.0</v>
      </c>
      <c r="N123" s="5"/>
      <c r="O123" s="5"/>
      <c r="P123" s="4">
        <v>4.571324242996E12</v>
      </c>
      <c r="Q123" s="7"/>
      <c r="R123" s="10"/>
      <c r="S123" s="10"/>
      <c r="T123" s="16"/>
      <c r="U123" s="12"/>
      <c r="V123" s="12"/>
      <c r="W123" s="12"/>
    </row>
    <row r="124" ht="14.25" customHeight="1">
      <c r="A124" s="2" t="s">
        <v>293</v>
      </c>
      <c r="B124" s="3" t="s">
        <v>463</v>
      </c>
      <c r="C124" s="4" t="s">
        <v>524</v>
      </c>
      <c r="D124" s="5" t="s">
        <v>525</v>
      </c>
      <c r="E124" s="3">
        <v>1.0</v>
      </c>
      <c r="F124" s="3">
        <v>6165.0</v>
      </c>
      <c r="G124" s="6">
        <v>6165.0</v>
      </c>
      <c r="H124" s="3" t="s">
        <v>307</v>
      </c>
      <c r="I124" s="5" t="s">
        <v>31</v>
      </c>
      <c r="J124" s="7"/>
      <c r="K124" s="7"/>
      <c r="L124" s="8" t="s">
        <v>521</v>
      </c>
      <c r="M124" s="9">
        <v>46008.0</v>
      </c>
      <c r="N124" s="5"/>
      <c r="O124" s="5" t="s">
        <v>526</v>
      </c>
      <c r="P124" s="4">
        <v>4.582616146717E12</v>
      </c>
      <c r="Q124" s="7"/>
      <c r="R124" s="10"/>
      <c r="S124" s="10"/>
      <c r="T124" s="16"/>
      <c r="U124" s="12"/>
      <c r="V124" s="12"/>
      <c r="W124" s="12"/>
    </row>
    <row r="125" ht="14.25" customHeight="1">
      <c r="A125" s="2" t="s">
        <v>288</v>
      </c>
      <c r="B125" s="3" t="s">
        <v>40</v>
      </c>
      <c r="C125" s="4" t="s">
        <v>239</v>
      </c>
      <c r="D125" s="5" t="s">
        <v>240</v>
      </c>
      <c r="E125" s="3">
        <v>45.0</v>
      </c>
      <c r="F125" s="3">
        <v>1270.0</v>
      </c>
      <c r="G125" s="6">
        <v>57150.0</v>
      </c>
      <c r="H125" s="3" t="s">
        <v>23</v>
      </c>
      <c r="I125" s="5" t="s">
        <v>24</v>
      </c>
      <c r="J125" s="7"/>
      <c r="K125" s="7"/>
      <c r="L125" s="8" t="s">
        <v>527</v>
      </c>
      <c r="M125" s="9">
        <v>45996.0</v>
      </c>
      <c r="N125" s="5"/>
      <c r="O125" s="5"/>
      <c r="P125" s="4">
        <v>4.580490000354E12</v>
      </c>
      <c r="Q125" s="7"/>
      <c r="R125" s="10">
        <v>24.3</v>
      </c>
      <c r="S125" s="10" t="s">
        <v>257</v>
      </c>
      <c r="T125" s="16"/>
      <c r="U125" s="12"/>
      <c r="V125" s="12"/>
      <c r="W125" s="12"/>
    </row>
    <row r="126" ht="14.25" customHeight="1">
      <c r="A126" s="2" t="s">
        <v>293</v>
      </c>
      <c r="B126" s="3" t="s">
        <v>20</v>
      </c>
      <c r="C126" s="4" t="s">
        <v>528</v>
      </c>
      <c r="D126" s="5" t="s">
        <v>529</v>
      </c>
      <c r="E126" s="3">
        <v>10.0</v>
      </c>
      <c r="F126" s="3">
        <v>2536.0</v>
      </c>
      <c r="G126" s="6">
        <v>25360.0</v>
      </c>
      <c r="H126" s="3" t="s">
        <v>23</v>
      </c>
      <c r="I126" s="5" t="s">
        <v>24</v>
      </c>
      <c r="J126" s="7"/>
      <c r="K126" s="7"/>
      <c r="L126" s="8" t="s">
        <v>530</v>
      </c>
      <c r="M126" s="9">
        <v>45987.0</v>
      </c>
      <c r="N126" s="5"/>
      <c r="O126" s="5"/>
      <c r="P126" s="4">
        <v>4.589717877892E12</v>
      </c>
      <c r="Q126" s="7"/>
      <c r="R126" s="10">
        <v>21.0</v>
      </c>
      <c r="S126" s="10" t="s">
        <v>324</v>
      </c>
      <c r="T126" s="16"/>
      <c r="U126" s="12"/>
      <c r="V126" s="12"/>
      <c r="W126" s="12"/>
    </row>
    <row r="127" ht="14.25" customHeight="1">
      <c r="A127" s="2" t="s">
        <v>288</v>
      </c>
      <c r="B127" s="3" t="s">
        <v>20</v>
      </c>
      <c r="C127" s="4" t="s">
        <v>528</v>
      </c>
      <c r="D127" s="5" t="s">
        <v>529</v>
      </c>
      <c r="E127" s="3">
        <v>3.0</v>
      </c>
      <c r="F127" s="3">
        <v>2536.0</v>
      </c>
      <c r="G127" s="6">
        <v>7608.0</v>
      </c>
      <c r="H127" s="3" t="s">
        <v>23</v>
      </c>
      <c r="I127" s="5" t="s">
        <v>24</v>
      </c>
      <c r="J127" s="7"/>
      <c r="K127" s="7"/>
      <c r="L127" s="8" t="s">
        <v>530</v>
      </c>
      <c r="M127" s="9">
        <v>45996.0</v>
      </c>
      <c r="N127" s="5"/>
      <c r="O127" s="5"/>
      <c r="P127" s="4">
        <v>4.589717877892E12</v>
      </c>
      <c r="Q127" s="7"/>
      <c r="R127" s="10"/>
      <c r="S127" s="10"/>
      <c r="T127" s="16"/>
      <c r="U127" s="12"/>
      <c r="V127" s="12"/>
      <c r="W127" s="12"/>
    </row>
    <row r="128" ht="14.25" customHeight="1">
      <c r="A128" s="2" t="s">
        <v>293</v>
      </c>
      <c r="B128" s="3" t="s">
        <v>20</v>
      </c>
      <c r="C128" s="4" t="s">
        <v>531</v>
      </c>
      <c r="D128" s="5" t="s">
        <v>532</v>
      </c>
      <c r="E128" s="3">
        <v>5.0</v>
      </c>
      <c r="F128" s="3">
        <v>3749.0</v>
      </c>
      <c r="G128" s="6">
        <v>18745.0</v>
      </c>
      <c r="H128" s="3" t="s">
        <v>23</v>
      </c>
      <c r="I128" s="5" t="s">
        <v>31</v>
      </c>
      <c r="J128" s="7"/>
      <c r="K128" s="7"/>
      <c r="L128" s="8" t="s">
        <v>530</v>
      </c>
      <c r="M128" s="9">
        <v>46002.0</v>
      </c>
      <c r="N128" s="5"/>
      <c r="O128" s="5"/>
      <c r="P128" s="4">
        <v>4.589717878004E12</v>
      </c>
      <c r="Q128" s="7"/>
      <c r="R128" s="10"/>
      <c r="S128" s="10"/>
      <c r="T128" s="16"/>
      <c r="U128" s="12"/>
      <c r="V128" s="12"/>
      <c r="W128" s="12"/>
    </row>
    <row r="129" ht="14.25" customHeight="1">
      <c r="A129" s="2" t="s">
        <v>293</v>
      </c>
      <c r="B129" s="3" t="s">
        <v>20</v>
      </c>
      <c r="C129" s="4" t="s">
        <v>533</v>
      </c>
      <c r="D129" s="5" t="s">
        <v>534</v>
      </c>
      <c r="E129" s="3">
        <v>5.0</v>
      </c>
      <c r="F129" s="3">
        <v>2205.0</v>
      </c>
      <c r="G129" s="6">
        <v>11025.0</v>
      </c>
      <c r="H129" s="3" t="s">
        <v>23</v>
      </c>
      <c r="I129" s="5" t="s">
        <v>24</v>
      </c>
      <c r="J129" s="7"/>
      <c r="K129" s="7"/>
      <c r="L129" s="8" t="s">
        <v>530</v>
      </c>
      <c r="M129" s="9">
        <v>46002.0</v>
      </c>
      <c r="N129" s="5"/>
      <c r="O129" s="5"/>
      <c r="P129" s="4">
        <v>4.589717878073E12</v>
      </c>
      <c r="Q129" s="7"/>
      <c r="R129" s="10"/>
      <c r="S129" s="10"/>
      <c r="T129" s="16"/>
      <c r="U129" s="12"/>
      <c r="V129" s="12"/>
      <c r="W129" s="12"/>
    </row>
    <row r="130" ht="14.25" customHeight="1">
      <c r="A130" s="2" t="s">
        <v>293</v>
      </c>
      <c r="B130" s="3" t="s">
        <v>49</v>
      </c>
      <c r="C130" s="4">
        <v>4.526374217142E12</v>
      </c>
      <c r="D130" s="5" t="s">
        <v>535</v>
      </c>
      <c r="E130" s="3">
        <v>3.0</v>
      </c>
      <c r="F130" s="3">
        <v>2426.0</v>
      </c>
      <c r="G130" s="6">
        <v>7278.0</v>
      </c>
      <c r="H130" s="3" t="s">
        <v>23</v>
      </c>
      <c r="I130" s="5" t="s">
        <v>24</v>
      </c>
      <c r="J130" s="7"/>
      <c r="K130" s="7"/>
      <c r="L130" s="8" t="s">
        <v>530</v>
      </c>
      <c r="M130" s="9">
        <v>46007.0</v>
      </c>
      <c r="N130" s="5"/>
      <c r="O130" s="5"/>
      <c r="P130" s="4">
        <v>4.526374217142E12</v>
      </c>
      <c r="Q130" s="7"/>
      <c r="R130" s="10"/>
      <c r="S130" s="10"/>
      <c r="T130" s="16"/>
      <c r="U130" s="12"/>
      <c r="V130" s="12"/>
      <c r="W130" s="12"/>
    </row>
    <row r="131" ht="14.25" customHeight="1">
      <c r="A131" s="2" t="s">
        <v>293</v>
      </c>
      <c r="B131" s="3" t="s">
        <v>20</v>
      </c>
      <c r="C131" s="4" t="s">
        <v>536</v>
      </c>
      <c r="D131" s="5" t="s">
        <v>537</v>
      </c>
      <c r="E131" s="3">
        <v>10.0</v>
      </c>
      <c r="F131" s="3">
        <v>1103.0</v>
      </c>
      <c r="G131" s="6">
        <v>11030.0</v>
      </c>
      <c r="H131" s="3" t="s">
        <v>94</v>
      </c>
      <c r="I131" s="5" t="s">
        <v>24</v>
      </c>
      <c r="J131" s="7"/>
      <c r="K131" s="7"/>
      <c r="L131" s="8" t="s">
        <v>538</v>
      </c>
      <c r="M131" s="9">
        <v>46002.0</v>
      </c>
      <c r="N131" s="5"/>
      <c r="O131" s="5"/>
      <c r="P131" s="4">
        <v>4.58971787796E12</v>
      </c>
      <c r="Q131" s="7"/>
      <c r="R131" s="10">
        <v>7.2</v>
      </c>
      <c r="S131" s="10" t="s">
        <v>539</v>
      </c>
      <c r="T131" s="16"/>
      <c r="U131" s="12"/>
      <c r="V131" s="12"/>
      <c r="W131" s="12"/>
    </row>
    <row r="132" ht="14.25" customHeight="1">
      <c r="A132" s="2" t="s">
        <v>293</v>
      </c>
      <c r="B132" s="3" t="s">
        <v>20</v>
      </c>
      <c r="C132" s="4" t="s">
        <v>540</v>
      </c>
      <c r="D132" s="5" t="s">
        <v>541</v>
      </c>
      <c r="E132" s="3">
        <v>10.0</v>
      </c>
      <c r="F132" s="3">
        <v>1103.0</v>
      </c>
      <c r="G132" s="6">
        <v>11030.0</v>
      </c>
      <c r="H132" s="3" t="s">
        <v>94</v>
      </c>
      <c r="I132" s="5" t="s">
        <v>24</v>
      </c>
      <c r="J132" s="7"/>
      <c r="K132" s="7"/>
      <c r="L132" s="8" t="s">
        <v>538</v>
      </c>
      <c r="M132" s="9">
        <v>46002.0</v>
      </c>
      <c r="N132" s="5"/>
      <c r="O132" s="5"/>
      <c r="P132" s="4">
        <v>4.589717877953E12</v>
      </c>
      <c r="Q132" s="7"/>
      <c r="R132" s="10"/>
      <c r="S132" s="10"/>
      <c r="T132" s="16"/>
      <c r="U132" s="12"/>
      <c r="V132" s="12"/>
      <c r="W132" s="12"/>
    </row>
    <row r="133" ht="14.25" customHeight="1">
      <c r="A133" s="2" t="s">
        <v>293</v>
      </c>
      <c r="B133" s="3" t="s">
        <v>20</v>
      </c>
      <c r="C133" s="4" t="s">
        <v>542</v>
      </c>
      <c r="D133" s="5" t="s">
        <v>543</v>
      </c>
      <c r="E133" s="3">
        <v>10.0</v>
      </c>
      <c r="F133" s="3">
        <v>1103.0</v>
      </c>
      <c r="G133" s="6">
        <v>11030.0</v>
      </c>
      <c r="H133" s="3" t="s">
        <v>94</v>
      </c>
      <c r="I133" s="5" t="s">
        <v>24</v>
      </c>
      <c r="J133" s="7"/>
      <c r="K133" s="7"/>
      <c r="L133" s="8" t="s">
        <v>538</v>
      </c>
      <c r="M133" s="9">
        <v>46002.0</v>
      </c>
      <c r="N133" s="5"/>
      <c r="O133" s="5"/>
      <c r="P133" s="4">
        <v>4.589717877977E12</v>
      </c>
      <c r="Q133" s="7"/>
      <c r="R133" s="10"/>
      <c r="S133" s="10"/>
      <c r="T133" s="16"/>
      <c r="U133" s="12"/>
      <c r="V133" s="12"/>
      <c r="W133" s="12"/>
    </row>
    <row r="134" ht="14.25" customHeight="1">
      <c r="A134" s="2" t="s">
        <v>288</v>
      </c>
      <c r="B134" s="3" t="s">
        <v>43</v>
      </c>
      <c r="C134" s="4" t="s">
        <v>544</v>
      </c>
      <c r="D134" s="5" t="s">
        <v>545</v>
      </c>
      <c r="E134" s="3">
        <v>4.0</v>
      </c>
      <c r="F134" s="3">
        <v>309.0</v>
      </c>
      <c r="G134" s="6">
        <v>1236.0</v>
      </c>
      <c r="H134" s="3" t="s">
        <v>94</v>
      </c>
      <c r="I134" s="5" t="s">
        <v>24</v>
      </c>
      <c r="J134" s="7"/>
      <c r="K134" s="7"/>
      <c r="L134" s="8" t="s">
        <v>538</v>
      </c>
      <c r="M134" s="9">
        <v>45996.0</v>
      </c>
      <c r="N134" s="5"/>
      <c r="O134" s="5"/>
      <c r="P134" s="4">
        <v>4.571165962527E12</v>
      </c>
      <c r="Q134" s="7"/>
      <c r="R134" s="10"/>
      <c r="S134" s="10"/>
      <c r="T134" s="16"/>
      <c r="U134" s="12"/>
      <c r="V134" s="12"/>
      <c r="W134" s="12"/>
    </row>
    <row r="135" ht="14.25" customHeight="1">
      <c r="A135" s="2" t="s">
        <v>288</v>
      </c>
      <c r="B135" s="3" t="s">
        <v>49</v>
      </c>
      <c r="C135" s="4">
        <v>4.526374159008E12</v>
      </c>
      <c r="D135" s="5" t="s">
        <v>292</v>
      </c>
      <c r="E135" s="3">
        <v>10.0</v>
      </c>
      <c r="F135" s="3">
        <v>441.0</v>
      </c>
      <c r="G135" s="6">
        <v>4410.0</v>
      </c>
      <c r="H135" s="3" t="s">
        <v>94</v>
      </c>
      <c r="I135" s="5" t="s">
        <v>24</v>
      </c>
      <c r="J135" s="7"/>
      <c r="K135" s="7"/>
      <c r="L135" s="8" t="s">
        <v>538</v>
      </c>
      <c r="M135" s="9">
        <v>45873.0</v>
      </c>
      <c r="N135" s="5"/>
      <c r="O135" s="5"/>
      <c r="P135" s="4">
        <v>4.526374159008E12</v>
      </c>
      <c r="Q135" s="7"/>
      <c r="R135" s="10"/>
      <c r="S135" s="10"/>
      <c r="T135" s="16"/>
      <c r="U135" s="12"/>
      <c r="V135" s="12"/>
      <c r="W135" s="12"/>
    </row>
    <row r="136" ht="14.25" customHeight="1">
      <c r="A136" s="2" t="s">
        <v>293</v>
      </c>
      <c r="B136" s="3" t="s">
        <v>546</v>
      </c>
      <c r="C136" s="4" t="s">
        <v>547</v>
      </c>
      <c r="D136" s="5" t="s">
        <v>548</v>
      </c>
      <c r="E136" s="3">
        <v>1.0</v>
      </c>
      <c r="F136" s="3">
        <v>7040.0</v>
      </c>
      <c r="G136" s="6">
        <v>7040.0</v>
      </c>
      <c r="H136" s="3" t="s">
        <v>23</v>
      </c>
      <c r="I136" s="5" t="s">
        <v>31</v>
      </c>
      <c r="J136" s="7"/>
      <c r="K136" s="7"/>
      <c r="L136" s="8" t="s">
        <v>549</v>
      </c>
      <c r="M136" s="9">
        <v>46007.0</v>
      </c>
      <c r="N136" s="5"/>
      <c r="O136" s="5"/>
      <c r="P136" s="4">
        <v>4.589431650702E12</v>
      </c>
      <c r="Q136" s="7"/>
      <c r="R136" s="10">
        <v>19.3</v>
      </c>
      <c r="S136" s="10" t="s">
        <v>550</v>
      </c>
      <c r="T136" s="16"/>
      <c r="U136" s="12"/>
      <c r="V136" s="12"/>
      <c r="W136" s="12"/>
    </row>
    <row r="137" ht="14.25" customHeight="1">
      <c r="A137" s="2" t="s">
        <v>293</v>
      </c>
      <c r="B137" s="3" t="s">
        <v>179</v>
      </c>
      <c r="C137" s="4">
        <v>1191.0</v>
      </c>
      <c r="D137" s="5" t="s">
        <v>522</v>
      </c>
      <c r="E137" s="3">
        <v>2.0</v>
      </c>
      <c r="F137" s="3">
        <v>1680.0</v>
      </c>
      <c r="G137" s="6">
        <v>3360.0</v>
      </c>
      <c r="H137" s="3" t="s">
        <v>23</v>
      </c>
      <c r="I137" s="5" t="s">
        <v>24</v>
      </c>
      <c r="J137" s="7"/>
      <c r="K137" s="7"/>
      <c r="L137" s="8" t="s">
        <v>549</v>
      </c>
      <c r="M137" s="9">
        <v>46008.0</v>
      </c>
      <c r="N137" s="5"/>
      <c r="O137" s="5"/>
      <c r="P137" s="4">
        <v>4.571324241746E12</v>
      </c>
      <c r="Q137" s="7"/>
      <c r="R137" s="10"/>
      <c r="S137" s="10"/>
      <c r="T137" s="16"/>
      <c r="U137" s="12"/>
      <c r="V137" s="12"/>
      <c r="W137" s="12"/>
    </row>
    <row r="138" ht="14.25" customHeight="1">
      <c r="A138" s="2" t="s">
        <v>293</v>
      </c>
      <c r="B138" s="3" t="s">
        <v>40</v>
      </c>
      <c r="C138" s="4" t="s">
        <v>242</v>
      </c>
      <c r="D138" s="5" t="s">
        <v>243</v>
      </c>
      <c r="E138" s="3">
        <v>10.0</v>
      </c>
      <c r="F138" s="3">
        <v>1940.0</v>
      </c>
      <c r="G138" s="6">
        <v>19400.0</v>
      </c>
      <c r="H138" s="3" t="s">
        <v>23</v>
      </c>
      <c r="I138" s="5" t="s">
        <v>24</v>
      </c>
      <c r="J138" s="7"/>
      <c r="K138" s="7"/>
      <c r="L138" s="8" t="s">
        <v>549</v>
      </c>
      <c r="M138" s="9">
        <v>45985.0</v>
      </c>
      <c r="N138" s="5"/>
      <c r="O138" s="5"/>
      <c r="P138" s="4">
        <v>4.580490000415E12</v>
      </c>
      <c r="Q138" s="7"/>
      <c r="R138" s="10"/>
      <c r="S138" s="10"/>
      <c r="T138" s="16"/>
      <c r="U138" s="12"/>
      <c r="V138" s="12"/>
      <c r="W138" s="12"/>
    </row>
    <row r="139" ht="14.25" customHeight="1">
      <c r="A139" s="2" t="s">
        <v>293</v>
      </c>
      <c r="B139" s="3" t="s">
        <v>179</v>
      </c>
      <c r="C139" s="4">
        <v>1414.0</v>
      </c>
      <c r="D139" s="5" t="s">
        <v>185</v>
      </c>
      <c r="E139" s="3">
        <v>5.0</v>
      </c>
      <c r="F139" s="3">
        <v>2760.0</v>
      </c>
      <c r="G139" s="6">
        <v>13800.0</v>
      </c>
      <c r="H139" s="3" t="s">
        <v>23</v>
      </c>
      <c r="I139" s="5" t="s">
        <v>24</v>
      </c>
      <c r="J139" s="7"/>
      <c r="K139" s="7"/>
      <c r="L139" s="8" t="s">
        <v>549</v>
      </c>
      <c r="M139" s="9">
        <v>46009.0</v>
      </c>
      <c r="N139" s="5"/>
      <c r="O139" s="5"/>
      <c r="P139" s="4">
        <v>4.571324245638E12</v>
      </c>
      <c r="Q139" s="7"/>
      <c r="R139" s="10"/>
      <c r="S139" s="10"/>
      <c r="T139" s="16"/>
      <c r="U139" s="12"/>
      <c r="V139" s="12"/>
      <c r="W139" s="12"/>
    </row>
    <row r="140" ht="14.25" customHeight="1">
      <c r="A140" s="2" t="s">
        <v>293</v>
      </c>
      <c r="B140" s="3" t="s">
        <v>46</v>
      </c>
      <c r="C140" s="4" t="s">
        <v>519</v>
      </c>
      <c r="D140" s="5" t="s">
        <v>520</v>
      </c>
      <c r="E140" s="3">
        <v>3.0</v>
      </c>
      <c r="F140" s="3">
        <v>1150.0</v>
      </c>
      <c r="G140" s="6">
        <v>3450.0</v>
      </c>
      <c r="H140" s="3" t="s">
        <v>23</v>
      </c>
      <c r="I140" s="5" t="s">
        <v>24</v>
      </c>
      <c r="J140" s="7"/>
      <c r="K140" s="7"/>
      <c r="L140" s="8" t="s">
        <v>549</v>
      </c>
      <c r="M140" s="9">
        <v>46008.0</v>
      </c>
      <c r="N140" s="5"/>
      <c r="O140" s="5" t="s">
        <v>204</v>
      </c>
      <c r="P140" s="4">
        <v>4.56230951106E12</v>
      </c>
      <c r="Q140" s="7"/>
      <c r="R140" s="10"/>
      <c r="S140" s="10"/>
      <c r="T140" s="16"/>
      <c r="U140" s="12"/>
      <c r="V140" s="12"/>
      <c r="W140" s="12"/>
    </row>
    <row r="141" ht="14.25" customHeight="1">
      <c r="A141" s="2" t="s">
        <v>293</v>
      </c>
      <c r="B141" s="3" t="s">
        <v>551</v>
      </c>
      <c r="C141" s="4" t="s">
        <v>552</v>
      </c>
      <c r="D141" s="5" t="s">
        <v>553</v>
      </c>
      <c r="E141" s="3">
        <v>1.0</v>
      </c>
      <c r="F141" s="3">
        <v>5789.0</v>
      </c>
      <c r="G141" s="6">
        <v>5789.0</v>
      </c>
      <c r="H141" s="3" t="s">
        <v>23</v>
      </c>
      <c r="I141" s="5" t="s">
        <v>24</v>
      </c>
      <c r="J141" s="7"/>
      <c r="K141" s="7"/>
      <c r="L141" s="8" t="s">
        <v>549</v>
      </c>
      <c r="M141" s="9">
        <v>46006.0</v>
      </c>
      <c r="N141" s="5"/>
      <c r="O141" s="5"/>
      <c r="P141" s="4">
        <v>4.571486931356E12</v>
      </c>
      <c r="Q141" s="7"/>
      <c r="R141" s="10"/>
      <c r="S141" s="10"/>
      <c r="T141" s="16"/>
      <c r="U141" s="12"/>
      <c r="V141" s="12"/>
      <c r="W141" s="12"/>
    </row>
    <row r="142" ht="14.25" customHeight="1">
      <c r="A142" s="2" t="s">
        <v>293</v>
      </c>
      <c r="B142" s="3" t="s">
        <v>20</v>
      </c>
      <c r="C142" s="4" t="s">
        <v>554</v>
      </c>
      <c r="D142" s="5" t="s">
        <v>555</v>
      </c>
      <c r="E142" s="3">
        <v>5.0</v>
      </c>
      <c r="F142" s="3">
        <v>3197.0</v>
      </c>
      <c r="G142" s="6">
        <v>15985.0</v>
      </c>
      <c r="H142" s="3" t="s">
        <v>307</v>
      </c>
      <c r="I142" s="5" t="s">
        <v>31</v>
      </c>
      <c r="J142" s="7"/>
      <c r="K142" s="7"/>
      <c r="L142" s="8" t="s">
        <v>549</v>
      </c>
      <c r="M142" s="9">
        <v>46002.0</v>
      </c>
      <c r="N142" s="5"/>
      <c r="O142" s="5"/>
      <c r="P142" s="4">
        <v>4.589717877762E12</v>
      </c>
      <c r="Q142" s="7"/>
      <c r="R142" s="10"/>
      <c r="S142" s="10"/>
      <c r="T142" s="16"/>
      <c r="U142" s="12"/>
      <c r="V142" s="12"/>
      <c r="W142" s="12"/>
    </row>
    <row r="143" ht="14.25" customHeight="1">
      <c r="A143" s="16"/>
      <c r="B143" s="16"/>
      <c r="C143" s="16"/>
      <c r="D143" s="16"/>
      <c r="E143" s="19">
        <f>SUM(E6:E142)</f>
        <v>1173</v>
      </c>
      <c r="F143" s="20"/>
      <c r="G143" s="21">
        <f>SUM(G6:G142)</f>
        <v>1593708</v>
      </c>
      <c r="H143" s="16"/>
      <c r="I143" s="16"/>
      <c r="L143" s="16"/>
      <c r="M143" s="22"/>
      <c r="N143" s="16" t="s">
        <v>556</v>
      </c>
      <c r="O143" s="16"/>
      <c r="P143" s="16"/>
      <c r="R143" s="16"/>
      <c r="S143" s="16"/>
      <c r="T143" s="16"/>
      <c r="U143" s="16"/>
      <c r="V143" s="16"/>
      <c r="W143" s="16"/>
    </row>
    <row r="144" ht="14.25" customHeight="1">
      <c r="A144" s="16"/>
      <c r="B144" s="16"/>
      <c r="C144" s="16"/>
      <c r="D144" s="16"/>
      <c r="E144" s="16"/>
      <c r="F144" s="16"/>
      <c r="G144" s="22"/>
      <c r="H144" s="16"/>
      <c r="I144" s="16"/>
      <c r="L144" s="16"/>
      <c r="M144" s="22"/>
      <c r="N144" s="22"/>
      <c r="O144" s="16"/>
      <c r="P144" s="16"/>
      <c r="R144" s="16"/>
      <c r="S144" s="16"/>
      <c r="T144" s="16"/>
      <c r="U144" s="16"/>
      <c r="V144" s="16"/>
      <c r="W144" s="16"/>
    </row>
    <row r="145" ht="14.25" customHeight="1">
      <c r="A145" s="16"/>
      <c r="B145" s="16"/>
      <c r="C145" s="16"/>
      <c r="D145" s="16"/>
      <c r="E145" s="16"/>
      <c r="F145" s="16"/>
      <c r="G145" s="22"/>
      <c r="H145" s="16"/>
      <c r="I145" s="16"/>
      <c r="L145" s="16"/>
      <c r="M145" s="22"/>
      <c r="N145" s="22"/>
      <c r="O145" s="16"/>
      <c r="P145" s="16"/>
      <c r="R145" s="16"/>
      <c r="S145" s="16"/>
      <c r="T145" s="16"/>
      <c r="U145" s="16"/>
      <c r="V145" s="16"/>
      <c r="W145" s="16"/>
    </row>
    <row r="146" ht="14.25" customHeight="1">
      <c r="A146" s="16"/>
      <c r="B146" s="16"/>
      <c r="C146" s="16"/>
      <c r="D146" s="16"/>
      <c r="E146" s="16"/>
      <c r="F146" s="16"/>
      <c r="G146" s="22"/>
      <c r="H146" s="16"/>
      <c r="I146" s="16"/>
      <c r="L146" s="16"/>
      <c r="M146" s="22"/>
      <c r="N146" s="22"/>
      <c r="O146" s="16"/>
      <c r="P146" s="16"/>
      <c r="R146" s="16"/>
      <c r="S146" s="16"/>
      <c r="T146" s="16"/>
      <c r="U146" s="16"/>
      <c r="V146" s="16"/>
      <c r="W146" s="16"/>
    </row>
    <row r="147" ht="14.25" customHeight="1">
      <c r="A147" s="1" t="s">
        <v>0</v>
      </c>
      <c r="B147" s="1" t="s">
        <v>1</v>
      </c>
      <c r="C147" s="1" t="s">
        <v>2</v>
      </c>
      <c r="D147" s="1" t="s">
        <v>3</v>
      </c>
      <c r="E147" s="1" t="s">
        <v>4</v>
      </c>
      <c r="F147" s="1" t="s">
        <v>5</v>
      </c>
      <c r="G147" s="1" t="s">
        <v>6</v>
      </c>
      <c r="H147" s="1" t="s">
        <v>7</v>
      </c>
      <c r="I147" s="1" t="s">
        <v>8</v>
      </c>
      <c r="J147" s="1" t="s">
        <v>9</v>
      </c>
      <c r="K147" s="1" t="s">
        <v>10</v>
      </c>
      <c r="L147" s="1" t="s">
        <v>11</v>
      </c>
      <c r="M147" s="1" t="s">
        <v>12</v>
      </c>
      <c r="N147" s="1" t="s">
        <v>13</v>
      </c>
      <c r="O147" s="1" t="s">
        <v>14</v>
      </c>
      <c r="P147" s="1" t="s">
        <v>15</v>
      </c>
      <c r="Q147" s="1" t="s">
        <v>16</v>
      </c>
      <c r="R147" s="1" t="s">
        <v>17</v>
      </c>
      <c r="S147" s="1" t="s">
        <v>18</v>
      </c>
      <c r="T147" s="23"/>
      <c r="U147" s="1"/>
      <c r="V147" s="1"/>
      <c r="W147" s="1"/>
      <c r="X147" s="12"/>
      <c r="Y147" s="12"/>
    </row>
    <row r="148" ht="14.25" customHeight="1">
      <c r="A148" s="2" t="s">
        <v>19</v>
      </c>
      <c r="B148" s="3" t="s">
        <v>20</v>
      </c>
      <c r="C148" s="4" t="s">
        <v>21</v>
      </c>
      <c r="D148" s="5" t="s">
        <v>22</v>
      </c>
      <c r="E148" s="3">
        <v>10.0</v>
      </c>
      <c r="F148" s="3">
        <v>1874.0</v>
      </c>
      <c r="G148" s="6">
        <f t="shared" ref="G148:G169" si="1">F148*E148</f>
        <v>18740</v>
      </c>
      <c r="H148" s="3" t="s">
        <v>23</v>
      </c>
      <c r="I148" s="5" t="s">
        <v>24</v>
      </c>
      <c r="J148" s="7"/>
      <c r="K148" s="7"/>
      <c r="L148" s="8" t="s">
        <v>25</v>
      </c>
      <c r="M148" s="9">
        <v>45964.0</v>
      </c>
      <c r="N148" s="5"/>
      <c r="O148" s="5"/>
      <c r="P148" s="4">
        <v>4.5897178777E12</v>
      </c>
      <c r="Q148" s="7"/>
      <c r="R148" s="10">
        <v>24.5</v>
      </c>
      <c r="S148" s="10" t="s">
        <v>26</v>
      </c>
      <c r="T148" s="16"/>
      <c r="U148" s="12"/>
      <c r="V148" s="12"/>
      <c r="W148" s="12"/>
    </row>
    <row r="149" ht="14.25" customHeight="1">
      <c r="A149" s="2" t="s">
        <v>19</v>
      </c>
      <c r="B149" s="3" t="s">
        <v>20</v>
      </c>
      <c r="C149" s="4" t="s">
        <v>27</v>
      </c>
      <c r="D149" s="5" t="s">
        <v>28</v>
      </c>
      <c r="E149" s="3">
        <v>10.0</v>
      </c>
      <c r="F149" s="3">
        <v>1874.0</v>
      </c>
      <c r="G149" s="6">
        <f t="shared" si="1"/>
        <v>18740</v>
      </c>
      <c r="H149" s="3" t="s">
        <v>23</v>
      </c>
      <c r="I149" s="5" t="s">
        <v>24</v>
      </c>
      <c r="J149" s="7"/>
      <c r="K149" s="7"/>
      <c r="L149" s="8" t="s">
        <v>25</v>
      </c>
      <c r="M149" s="9">
        <v>45964.0</v>
      </c>
      <c r="N149" s="5"/>
      <c r="O149" s="5"/>
      <c r="P149" s="4">
        <v>4.589717877724E12</v>
      </c>
      <c r="Q149" s="7"/>
      <c r="R149" s="10"/>
      <c r="S149" s="10"/>
      <c r="T149" s="16"/>
      <c r="U149" s="12"/>
      <c r="V149" s="12"/>
      <c r="W149" s="12"/>
    </row>
    <row r="150" ht="14.25" customHeight="1">
      <c r="A150" s="2" t="s">
        <v>19</v>
      </c>
      <c r="B150" s="3" t="s">
        <v>20</v>
      </c>
      <c r="C150" s="4" t="s">
        <v>29</v>
      </c>
      <c r="D150" s="5" t="s">
        <v>30</v>
      </c>
      <c r="E150" s="3">
        <v>2.0</v>
      </c>
      <c r="F150" s="3">
        <v>2867.0</v>
      </c>
      <c r="G150" s="6">
        <f t="shared" si="1"/>
        <v>5734</v>
      </c>
      <c r="H150" s="3" t="s">
        <v>23</v>
      </c>
      <c r="I150" s="5" t="s">
        <v>31</v>
      </c>
      <c r="J150" s="7"/>
      <c r="K150" s="7"/>
      <c r="L150" s="8" t="s">
        <v>25</v>
      </c>
      <c r="M150" s="9">
        <v>45974.0</v>
      </c>
      <c r="N150" s="5"/>
      <c r="O150" s="5"/>
      <c r="P150" s="4">
        <v>4.589717877731E12</v>
      </c>
      <c r="Q150" s="7"/>
      <c r="R150" s="10"/>
      <c r="S150" s="10"/>
      <c r="T150" s="16"/>
      <c r="U150" s="12"/>
      <c r="V150" s="12"/>
      <c r="W150" s="12"/>
    </row>
    <row r="151" ht="14.25" customHeight="1">
      <c r="A151" s="2" t="s">
        <v>19</v>
      </c>
      <c r="B151" s="3" t="s">
        <v>20</v>
      </c>
      <c r="C151" s="4" t="s">
        <v>32</v>
      </c>
      <c r="D151" s="5" t="s">
        <v>33</v>
      </c>
      <c r="E151" s="3">
        <v>5.0</v>
      </c>
      <c r="F151" s="3">
        <v>2205.0</v>
      </c>
      <c r="G151" s="6">
        <f t="shared" si="1"/>
        <v>11025</v>
      </c>
      <c r="H151" s="3" t="s">
        <v>23</v>
      </c>
      <c r="I151" s="5" t="s">
        <v>24</v>
      </c>
      <c r="J151" s="7"/>
      <c r="K151" s="7"/>
      <c r="L151" s="8" t="s">
        <v>25</v>
      </c>
      <c r="M151" s="9">
        <v>45964.0</v>
      </c>
      <c r="N151" s="5"/>
      <c r="O151" s="5"/>
      <c r="P151" s="4">
        <v>4.589717877687E12</v>
      </c>
      <c r="Q151" s="7"/>
      <c r="R151" s="10"/>
      <c r="S151" s="10"/>
      <c r="T151" s="16"/>
      <c r="U151" s="12"/>
      <c r="V151" s="12"/>
      <c r="W151" s="12"/>
    </row>
    <row r="152" ht="14.25" customHeight="1">
      <c r="A152" s="2" t="s">
        <v>19</v>
      </c>
      <c r="B152" s="3" t="s">
        <v>20</v>
      </c>
      <c r="C152" s="4" t="s">
        <v>34</v>
      </c>
      <c r="D152" s="5" t="s">
        <v>35</v>
      </c>
      <c r="E152" s="3">
        <v>5.0</v>
      </c>
      <c r="F152" s="3">
        <v>2095.0</v>
      </c>
      <c r="G152" s="6">
        <f t="shared" si="1"/>
        <v>10475</v>
      </c>
      <c r="H152" s="3" t="s">
        <v>23</v>
      </c>
      <c r="I152" s="5" t="s">
        <v>24</v>
      </c>
      <c r="J152" s="7"/>
      <c r="K152" s="7"/>
      <c r="L152" s="8" t="s">
        <v>25</v>
      </c>
      <c r="M152" s="9">
        <v>45974.0</v>
      </c>
      <c r="N152" s="5"/>
      <c r="O152" s="5"/>
      <c r="P152" s="4">
        <v>4.589717877816E12</v>
      </c>
      <c r="Q152" s="7"/>
      <c r="R152" s="10"/>
      <c r="S152" s="10"/>
      <c r="T152" s="16"/>
      <c r="U152" s="12"/>
      <c r="V152" s="12"/>
      <c r="W152" s="12"/>
    </row>
    <row r="153" ht="14.25" customHeight="1">
      <c r="A153" s="2" t="s">
        <v>19</v>
      </c>
      <c r="B153" s="3" t="s">
        <v>20</v>
      </c>
      <c r="C153" s="4" t="s">
        <v>36</v>
      </c>
      <c r="D153" s="5" t="s">
        <v>37</v>
      </c>
      <c r="E153" s="3">
        <v>5.0</v>
      </c>
      <c r="F153" s="3">
        <v>1874.0</v>
      </c>
      <c r="G153" s="6">
        <f t="shared" si="1"/>
        <v>9370</v>
      </c>
      <c r="H153" s="3" t="s">
        <v>23</v>
      </c>
      <c r="I153" s="5" t="s">
        <v>24</v>
      </c>
      <c r="J153" s="7"/>
      <c r="K153" s="7"/>
      <c r="L153" s="8" t="s">
        <v>25</v>
      </c>
      <c r="M153" s="9">
        <v>45974.0</v>
      </c>
      <c r="N153" s="5"/>
      <c r="O153" s="5"/>
      <c r="P153" s="4">
        <v>4.589717877748E12</v>
      </c>
      <c r="Q153" s="7"/>
      <c r="R153" s="10"/>
      <c r="S153" s="10"/>
      <c r="T153" s="16"/>
      <c r="U153" s="12"/>
      <c r="V153" s="12"/>
      <c r="W153" s="12"/>
    </row>
    <row r="154" ht="14.25" customHeight="1">
      <c r="A154" s="2" t="s">
        <v>19</v>
      </c>
      <c r="B154" s="3" t="s">
        <v>20</v>
      </c>
      <c r="C154" s="4" t="s">
        <v>29</v>
      </c>
      <c r="D154" s="5" t="s">
        <v>30</v>
      </c>
      <c r="E154" s="3">
        <v>3.0</v>
      </c>
      <c r="F154" s="3">
        <v>2867.0</v>
      </c>
      <c r="G154" s="6">
        <f t="shared" si="1"/>
        <v>8601</v>
      </c>
      <c r="H154" s="3" t="s">
        <v>23</v>
      </c>
      <c r="I154" s="5" t="s">
        <v>31</v>
      </c>
      <c r="J154" s="7"/>
      <c r="K154" s="7"/>
      <c r="L154" s="8" t="s">
        <v>38</v>
      </c>
      <c r="M154" s="9">
        <v>45974.0</v>
      </c>
      <c r="N154" s="5"/>
      <c r="O154" s="5"/>
      <c r="P154" s="4">
        <v>4.589717877731E12</v>
      </c>
      <c r="Q154" s="7"/>
      <c r="R154" s="10">
        <v>24.0</v>
      </c>
      <c r="S154" s="10" t="s">
        <v>39</v>
      </c>
      <c r="T154" s="16"/>
      <c r="U154" s="12"/>
      <c r="V154" s="12"/>
      <c r="W154" s="12"/>
    </row>
    <row r="155" ht="14.25" customHeight="1">
      <c r="A155" s="2" t="s">
        <v>19</v>
      </c>
      <c r="B155" s="3" t="s">
        <v>40</v>
      </c>
      <c r="C155" s="4" t="s">
        <v>41</v>
      </c>
      <c r="D155" s="5" t="s">
        <v>42</v>
      </c>
      <c r="E155" s="3">
        <v>10.0</v>
      </c>
      <c r="F155" s="3">
        <v>1400.0</v>
      </c>
      <c r="G155" s="6">
        <f t="shared" si="1"/>
        <v>14000</v>
      </c>
      <c r="H155" s="3" t="s">
        <v>23</v>
      </c>
      <c r="I155" s="5" t="s">
        <v>24</v>
      </c>
      <c r="J155" s="7"/>
      <c r="K155" s="7"/>
      <c r="L155" s="8" t="s">
        <v>38</v>
      </c>
      <c r="M155" s="9">
        <v>45964.0</v>
      </c>
      <c r="N155" s="5"/>
      <c r="O155" s="5"/>
      <c r="P155" s="4">
        <v>4.580490000408E12</v>
      </c>
      <c r="Q155" s="7"/>
      <c r="R155" s="10"/>
      <c r="S155" s="10"/>
      <c r="T155" s="16"/>
      <c r="U155" s="12"/>
      <c r="V155" s="12"/>
      <c r="W155" s="12"/>
    </row>
    <row r="156" ht="14.25" customHeight="1">
      <c r="A156" s="2" t="s">
        <v>19</v>
      </c>
      <c r="B156" s="3" t="s">
        <v>43</v>
      </c>
      <c r="C156" s="4" t="s">
        <v>44</v>
      </c>
      <c r="D156" s="5" t="s">
        <v>45</v>
      </c>
      <c r="E156" s="3">
        <v>1.0</v>
      </c>
      <c r="F156" s="3">
        <v>3308.0</v>
      </c>
      <c r="G156" s="6">
        <f t="shared" si="1"/>
        <v>3308</v>
      </c>
      <c r="H156" s="3" t="s">
        <v>23</v>
      </c>
      <c r="I156" s="5" t="s">
        <v>24</v>
      </c>
      <c r="J156" s="7"/>
      <c r="K156" s="7"/>
      <c r="L156" s="8" t="s">
        <v>38</v>
      </c>
      <c r="M156" s="9">
        <v>45989.0</v>
      </c>
      <c r="N156" s="5"/>
      <c r="O156" s="5"/>
      <c r="P156" s="4">
        <v>4.562160134415E12</v>
      </c>
      <c r="Q156" s="7"/>
      <c r="R156" s="10"/>
      <c r="S156" s="10"/>
      <c r="T156" s="16"/>
      <c r="U156" s="12"/>
      <c r="V156" s="12"/>
      <c r="W156" s="12"/>
    </row>
    <row r="157" ht="14.25" customHeight="1">
      <c r="A157" s="2" t="s">
        <v>19</v>
      </c>
      <c r="B157" s="3" t="s">
        <v>46</v>
      </c>
      <c r="C157" s="4" t="s">
        <v>47</v>
      </c>
      <c r="D157" s="5" t="s">
        <v>48</v>
      </c>
      <c r="E157" s="3">
        <v>1.0</v>
      </c>
      <c r="F157" s="3">
        <v>1400.0</v>
      </c>
      <c r="G157" s="6">
        <f t="shared" si="1"/>
        <v>1400</v>
      </c>
      <c r="H157" s="3" t="s">
        <v>23</v>
      </c>
      <c r="I157" s="5" t="s">
        <v>24</v>
      </c>
      <c r="J157" s="7"/>
      <c r="K157" s="7"/>
      <c r="L157" s="8" t="s">
        <v>38</v>
      </c>
      <c r="M157" s="9">
        <v>45999.0</v>
      </c>
      <c r="N157" s="5"/>
      <c r="O157" s="5"/>
      <c r="P157" s="4">
        <v>4.562309513798E12</v>
      </c>
      <c r="Q157" s="7"/>
      <c r="R157" s="10"/>
      <c r="S157" s="10"/>
      <c r="T157" s="16"/>
      <c r="U157" s="12"/>
      <c r="V157" s="12"/>
      <c r="W157" s="12"/>
    </row>
    <row r="158" ht="14.25" customHeight="1">
      <c r="A158" s="2" t="s">
        <v>19</v>
      </c>
      <c r="B158" s="3" t="s">
        <v>46</v>
      </c>
      <c r="C158" s="4" t="s">
        <v>47</v>
      </c>
      <c r="D158" s="5" t="s">
        <v>48</v>
      </c>
      <c r="E158" s="3">
        <v>20.0</v>
      </c>
      <c r="F158" s="3">
        <v>1400.0</v>
      </c>
      <c r="G158" s="6">
        <f t="shared" si="1"/>
        <v>28000</v>
      </c>
      <c r="H158" s="3" t="s">
        <v>23</v>
      </c>
      <c r="I158" s="5" t="s">
        <v>24</v>
      </c>
      <c r="J158" s="7"/>
      <c r="K158" s="7"/>
      <c r="L158" s="8" t="s">
        <v>38</v>
      </c>
      <c r="M158" s="9">
        <v>45994.0</v>
      </c>
      <c r="N158" s="5"/>
      <c r="O158" s="5"/>
      <c r="P158" s="4">
        <v>4.562309513798E12</v>
      </c>
      <c r="Q158" s="7"/>
      <c r="R158" s="10"/>
      <c r="S158" s="10"/>
      <c r="T158" s="16"/>
      <c r="U158" s="12"/>
      <c r="V158" s="12"/>
      <c r="W158" s="12"/>
    </row>
    <row r="159" ht="14.25" customHeight="1">
      <c r="A159" s="2" t="s">
        <v>19</v>
      </c>
      <c r="B159" s="3" t="s">
        <v>49</v>
      </c>
      <c r="C159" s="4">
        <v>4.526374813153E12</v>
      </c>
      <c r="D159" s="5" t="s">
        <v>50</v>
      </c>
      <c r="E159" s="3">
        <v>5.0</v>
      </c>
      <c r="F159" s="3">
        <v>2707.0</v>
      </c>
      <c r="G159" s="6">
        <f t="shared" si="1"/>
        <v>13535</v>
      </c>
      <c r="H159" s="3" t="s">
        <v>23</v>
      </c>
      <c r="I159" s="5" t="s">
        <v>24</v>
      </c>
      <c r="J159" s="7"/>
      <c r="K159" s="7"/>
      <c r="L159" s="8" t="s">
        <v>38</v>
      </c>
      <c r="M159" s="9">
        <v>45989.0</v>
      </c>
      <c r="N159" s="5"/>
      <c r="O159" s="5"/>
      <c r="P159" s="4">
        <v>4.526374813153E12</v>
      </c>
      <c r="Q159" s="7"/>
      <c r="R159" s="10"/>
      <c r="S159" s="10"/>
      <c r="T159" s="16"/>
      <c r="U159" s="12"/>
      <c r="V159" s="12"/>
      <c r="W159" s="12"/>
    </row>
    <row r="160" ht="14.25" customHeight="1">
      <c r="A160" s="2" t="s">
        <v>19</v>
      </c>
      <c r="B160" s="3" t="s">
        <v>43</v>
      </c>
      <c r="C160" s="4" t="s">
        <v>44</v>
      </c>
      <c r="D160" s="5" t="s">
        <v>45</v>
      </c>
      <c r="E160" s="3">
        <v>19.0</v>
      </c>
      <c r="F160" s="3">
        <v>3308.0</v>
      </c>
      <c r="G160" s="6">
        <f t="shared" si="1"/>
        <v>62852</v>
      </c>
      <c r="H160" s="3" t="s">
        <v>23</v>
      </c>
      <c r="I160" s="5" t="s">
        <v>24</v>
      </c>
      <c r="J160" s="7"/>
      <c r="K160" s="7"/>
      <c r="L160" s="8" t="s">
        <v>51</v>
      </c>
      <c r="M160" s="9">
        <v>45989.0</v>
      </c>
      <c r="N160" s="5"/>
      <c r="O160" s="5"/>
      <c r="P160" s="4">
        <v>4.562160134415E12</v>
      </c>
      <c r="Q160" s="7"/>
      <c r="R160" s="10">
        <v>24.7</v>
      </c>
      <c r="S160" s="10" t="s">
        <v>26</v>
      </c>
      <c r="T160" s="16"/>
      <c r="U160" s="12"/>
      <c r="V160" s="12"/>
      <c r="W160" s="12"/>
    </row>
    <row r="161" ht="14.25" customHeight="1">
      <c r="A161" s="2" t="s">
        <v>19</v>
      </c>
      <c r="B161" s="3" t="s">
        <v>43</v>
      </c>
      <c r="C161" s="4" t="s">
        <v>52</v>
      </c>
      <c r="D161" s="5" t="s">
        <v>53</v>
      </c>
      <c r="E161" s="3">
        <v>18.0</v>
      </c>
      <c r="F161" s="3">
        <v>3308.0</v>
      </c>
      <c r="G161" s="6">
        <f t="shared" si="1"/>
        <v>59544</v>
      </c>
      <c r="H161" s="3" t="s">
        <v>23</v>
      </c>
      <c r="I161" s="5" t="s">
        <v>24</v>
      </c>
      <c r="J161" s="7"/>
      <c r="K161" s="7"/>
      <c r="L161" s="8" t="s">
        <v>54</v>
      </c>
      <c r="M161" s="9">
        <v>45989.0</v>
      </c>
      <c r="N161" s="5"/>
      <c r="O161" s="5"/>
      <c r="P161" s="4">
        <v>4.562160134101E12</v>
      </c>
      <c r="Q161" s="7"/>
      <c r="R161" s="10">
        <v>24.8</v>
      </c>
      <c r="S161" s="10" t="s">
        <v>26</v>
      </c>
      <c r="T161" s="16"/>
      <c r="U161" s="12"/>
      <c r="V161" s="12"/>
      <c r="W161" s="12"/>
    </row>
    <row r="162" ht="14.25" customHeight="1">
      <c r="A162" s="2" t="s">
        <v>19</v>
      </c>
      <c r="B162" s="3" t="s">
        <v>43</v>
      </c>
      <c r="C162" s="4" t="s">
        <v>52</v>
      </c>
      <c r="D162" s="5" t="s">
        <v>53</v>
      </c>
      <c r="E162" s="3">
        <v>2.0</v>
      </c>
      <c r="F162" s="3">
        <v>3308.0</v>
      </c>
      <c r="G162" s="6">
        <f t="shared" si="1"/>
        <v>6616</v>
      </c>
      <c r="H162" s="3" t="s">
        <v>23</v>
      </c>
      <c r="I162" s="5" t="s">
        <v>24</v>
      </c>
      <c r="J162" s="7"/>
      <c r="K162" s="7"/>
      <c r="L162" s="8" t="s">
        <v>55</v>
      </c>
      <c r="M162" s="9">
        <v>45989.0</v>
      </c>
      <c r="N162" s="5"/>
      <c r="O162" s="5"/>
      <c r="P162" s="4">
        <v>4.562160134101E12</v>
      </c>
      <c r="Q162" s="7"/>
      <c r="R162" s="10">
        <v>7.9</v>
      </c>
      <c r="S162" s="10" t="s">
        <v>56</v>
      </c>
      <c r="T162" s="16"/>
      <c r="U162" s="12"/>
      <c r="V162" s="12"/>
      <c r="W162" s="12"/>
    </row>
    <row r="163" ht="14.25" customHeight="1">
      <c r="A163" s="2" t="s">
        <v>19</v>
      </c>
      <c r="B163" s="3" t="s">
        <v>46</v>
      </c>
      <c r="C163" s="4" t="s">
        <v>47</v>
      </c>
      <c r="D163" s="5" t="s">
        <v>48</v>
      </c>
      <c r="E163" s="3">
        <v>9.0</v>
      </c>
      <c r="F163" s="3">
        <v>1400.0</v>
      </c>
      <c r="G163" s="6">
        <f t="shared" si="1"/>
        <v>12600</v>
      </c>
      <c r="H163" s="3" t="s">
        <v>23</v>
      </c>
      <c r="I163" s="5" t="s">
        <v>24</v>
      </c>
      <c r="J163" s="7"/>
      <c r="K163" s="7"/>
      <c r="L163" s="8" t="s">
        <v>55</v>
      </c>
      <c r="M163" s="9">
        <v>45999.0</v>
      </c>
      <c r="N163" s="5"/>
      <c r="O163" s="5"/>
      <c r="P163" s="4">
        <v>4.562309513798E12</v>
      </c>
      <c r="Q163" s="7"/>
      <c r="R163" s="10"/>
      <c r="S163" s="10"/>
      <c r="T163" s="16"/>
      <c r="U163" s="12"/>
      <c r="V163" s="12"/>
      <c r="W163" s="12"/>
    </row>
    <row r="164" ht="14.25" customHeight="1">
      <c r="A164" s="2" t="s">
        <v>19</v>
      </c>
      <c r="B164" s="3" t="s">
        <v>20</v>
      </c>
      <c r="C164" s="4" t="s">
        <v>57</v>
      </c>
      <c r="D164" s="5" t="s">
        <v>58</v>
      </c>
      <c r="E164" s="3">
        <v>30.0</v>
      </c>
      <c r="F164" s="3">
        <v>2095.0</v>
      </c>
      <c r="G164" s="6">
        <f t="shared" si="1"/>
        <v>62850</v>
      </c>
      <c r="H164" s="3" t="s">
        <v>23</v>
      </c>
      <c r="I164" s="5" t="s">
        <v>31</v>
      </c>
      <c r="J164" s="7"/>
      <c r="K164" s="7"/>
      <c r="L164" s="8" t="s">
        <v>59</v>
      </c>
      <c r="M164" s="9">
        <v>45989.0</v>
      </c>
      <c r="N164" s="5"/>
      <c r="O164" s="5"/>
      <c r="P164" s="4">
        <v>4.589717872811E12</v>
      </c>
      <c r="Q164" s="7"/>
      <c r="R164" s="10">
        <v>10.3</v>
      </c>
      <c r="S164" s="10" t="s">
        <v>60</v>
      </c>
      <c r="T164" s="16"/>
      <c r="U164" s="12"/>
      <c r="V164" s="12"/>
      <c r="W164" s="12"/>
    </row>
    <row r="165" ht="14.25" customHeight="1">
      <c r="A165" s="2" t="s">
        <v>19</v>
      </c>
      <c r="B165" s="3" t="s">
        <v>61</v>
      </c>
      <c r="C165" s="4" t="s">
        <v>62</v>
      </c>
      <c r="D165" s="5" t="s">
        <v>63</v>
      </c>
      <c r="E165" s="3">
        <v>25.0</v>
      </c>
      <c r="F165" s="3">
        <v>1800.0</v>
      </c>
      <c r="G165" s="6">
        <f t="shared" si="1"/>
        <v>45000</v>
      </c>
      <c r="H165" s="3" t="s">
        <v>23</v>
      </c>
      <c r="I165" s="5" t="s">
        <v>24</v>
      </c>
      <c r="J165" s="7"/>
      <c r="K165" s="7"/>
      <c r="L165" s="8" t="s">
        <v>64</v>
      </c>
      <c r="M165" s="9">
        <v>45989.0</v>
      </c>
      <c r="N165" s="5"/>
      <c r="O165" s="5"/>
      <c r="P165" s="4">
        <v>4.571360812597E12</v>
      </c>
      <c r="Q165" s="7"/>
      <c r="R165" s="10">
        <v>15.8</v>
      </c>
      <c r="S165" s="10" t="s">
        <v>65</v>
      </c>
      <c r="T165" s="16"/>
      <c r="U165" s="12"/>
      <c r="V165" s="12"/>
      <c r="W165" s="12"/>
    </row>
    <row r="166" ht="14.25" customHeight="1">
      <c r="A166" s="2" t="s">
        <v>19</v>
      </c>
      <c r="B166" s="3" t="s">
        <v>61</v>
      </c>
      <c r="C166" s="4" t="s">
        <v>66</v>
      </c>
      <c r="D166" s="5" t="s">
        <v>67</v>
      </c>
      <c r="E166" s="3">
        <v>5.0</v>
      </c>
      <c r="F166" s="3">
        <v>1800.0</v>
      </c>
      <c r="G166" s="6">
        <f t="shared" si="1"/>
        <v>9000</v>
      </c>
      <c r="H166" s="3" t="s">
        <v>23</v>
      </c>
      <c r="I166" s="5" t="s">
        <v>24</v>
      </c>
      <c r="J166" s="7"/>
      <c r="K166" s="7"/>
      <c r="L166" s="8" t="s">
        <v>64</v>
      </c>
      <c r="M166" s="9">
        <v>45989.0</v>
      </c>
      <c r="N166" s="5"/>
      <c r="O166" s="5"/>
      <c r="P166" s="4">
        <v>4.571360813501E12</v>
      </c>
      <c r="Q166" s="7"/>
      <c r="R166" s="10"/>
      <c r="S166" s="10"/>
      <c r="T166" s="16"/>
      <c r="U166" s="12"/>
      <c r="V166" s="12"/>
      <c r="W166" s="12"/>
    </row>
    <row r="167" ht="14.25" customHeight="1">
      <c r="A167" s="2" t="s">
        <v>19</v>
      </c>
      <c r="B167" s="3" t="s">
        <v>61</v>
      </c>
      <c r="C167" s="4" t="s">
        <v>66</v>
      </c>
      <c r="D167" s="5" t="s">
        <v>67</v>
      </c>
      <c r="E167" s="3">
        <v>20.0</v>
      </c>
      <c r="F167" s="3">
        <v>1800.0</v>
      </c>
      <c r="G167" s="6">
        <f t="shared" si="1"/>
        <v>36000</v>
      </c>
      <c r="H167" s="3" t="s">
        <v>23</v>
      </c>
      <c r="I167" s="5" t="s">
        <v>24</v>
      </c>
      <c r="J167" s="7"/>
      <c r="K167" s="7"/>
      <c r="L167" s="8" t="s">
        <v>68</v>
      </c>
      <c r="M167" s="9">
        <v>45989.0</v>
      </c>
      <c r="N167" s="5"/>
      <c r="O167" s="5"/>
      <c r="P167" s="4">
        <v>4.571360813501E12</v>
      </c>
      <c r="Q167" s="7"/>
      <c r="R167" s="10">
        <v>10.7</v>
      </c>
      <c r="S167" s="10" t="s">
        <v>69</v>
      </c>
      <c r="T167" s="16"/>
      <c r="U167" s="12"/>
      <c r="V167" s="12"/>
      <c r="W167" s="12"/>
    </row>
    <row r="168" ht="14.25" customHeight="1">
      <c r="A168" s="2" t="s">
        <v>19</v>
      </c>
      <c r="B168" s="3" t="s">
        <v>61</v>
      </c>
      <c r="C168" s="4" t="s">
        <v>70</v>
      </c>
      <c r="D168" s="5" t="s">
        <v>71</v>
      </c>
      <c r="E168" s="3">
        <v>10.0</v>
      </c>
      <c r="F168" s="3">
        <v>1720.0</v>
      </c>
      <c r="G168" s="6">
        <f t="shared" si="1"/>
        <v>17200</v>
      </c>
      <c r="H168" s="3" t="s">
        <v>23</v>
      </c>
      <c r="I168" s="5" t="s">
        <v>24</v>
      </c>
      <c r="J168" s="7"/>
      <c r="K168" s="7"/>
      <c r="L168" s="8" t="s">
        <v>72</v>
      </c>
      <c r="M168" s="9">
        <v>45989.0</v>
      </c>
      <c r="N168" s="5"/>
      <c r="O168" s="5"/>
      <c r="P168" s="4">
        <v>4.57136081427E12</v>
      </c>
      <c r="Q168" s="7"/>
      <c r="R168" s="10">
        <v>5.5</v>
      </c>
      <c r="S168" s="10" t="s">
        <v>73</v>
      </c>
      <c r="T168" s="16"/>
      <c r="U168" s="12"/>
      <c r="V168" s="12"/>
      <c r="W168" s="12"/>
    </row>
    <row r="169" ht="14.25" customHeight="1">
      <c r="A169" s="2" t="s">
        <v>74</v>
      </c>
      <c r="B169" s="3" t="s">
        <v>43</v>
      </c>
      <c r="C169" s="4" t="s">
        <v>75</v>
      </c>
      <c r="D169" s="5" t="s">
        <v>76</v>
      </c>
      <c r="E169" s="3">
        <v>5.0</v>
      </c>
      <c r="F169" s="3">
        <v>1555.0</v>
      </c>
      <c r="G169" s="6">
        <f t="shared" si="1"/>
        <v>7775</v>
      </c>
      <c r="H169" s="3" t="s">
        <v>23</v>
      </c>
      <c r="I169" s="5" t="s">
        <v>24</v>
      </c>
      <c r="J169" s="7"/>
      <c r="K169" s="7"/>
      <c r="L169" s="8" t="s">
        <v>77</v>
      </c>
      <c r="M169" s="9">
        <v>45980.0</v>
      </c>
      <c r="N169" s="5"/>
      <c r="O169" s="5"/>
      <c r="P169" s="4">
        <v>4.562160138598E12</v>
      </c>
      <c r="Q169" s="7"/>
      <c r="R169" s="10">
        <v>24.7</v>
      </c>
      <c r="S169" s="10" t="s">
        <v>26</v>
      </c>
      <c r="T169" s="16"/>
      <c r="U169" s="12"/>
      <c r="V169" s="12"/>
      <c r="W169" s="12"/>
    </row>
    <row r="170" ht="14.25" customHeight="1">
      <c r="A170" s="2" t="s">
        <v>74</v>
      </c>
      <c r="B170" s="3" t="s">
        <v>43</v>
      </c>
      <c r="C170" s="4" t="s">
        <v>78</v>
      </c>
      <c r="D170" s="5" t="s">
        <v>79</v>
      </c>
      <c r="E170" s="3">
        <v>5.0</v>
      </c>
      <c r="F170" s="3">
        <v>549.0</v>
      </c>
      <c r="G170" s="6">
        <v>2745.0</v>
      </c>
      <c r="H170" s="3" t="s">
        <v>23</v>
      </c>
      <c r="I170" s="5" t="s">
        <v>24</v>
      </c>
      <c r="J170" s="7"/>
      <c r="K170" s="7"/>
      <c r="L170" s="8" t="s">
        <v>77</v>
      </c>
      <c r="M170" s="9">
        <v>45972.0</v>
      </c>
      <c r="N170" s="5"/>
      <c r="O170" s="5"/>
      <c r="P170" s="4">
        <v>4.562160139199E12</v>
      </c>
      <c r="Q170" s="7"/>
      <c r="R170" s="10"/>
      <c r="S170" s="10"/>
      <c r="T170" s="16"/>
      <c r="U170" s="12"/>
      <c r="V170" s="12"/>
      <c r="W170" s="12"/>
    </row>
    <row r="171" ht="14.25" customHeight="1">
      <c r="A171" s="2" t="s">
        <v>74</v>
      </c>
      <c r="B171" s="3" t="s">
        <v>43</v>
      </c>
      <c r="C171" s="4" t="s">
        <v>80</v>
      </c>
      <c r="D171" s="5" t="s">
        <v>81</v>
      </c>
      <c r="E171" s="3">
        <v>5.0</v>
      </c>
      <c r="F171" s="3">
        <v>549.0</v>
      </c>
      <c r="G171" s="6">
        <f t="shared" ref="G171:G175" si="2">F171*E171</f>
        <v>2745</v>
      </c>
      <c r="H171" s="3" t="s">
        <v>23</v>
      </c>
      <c r="I171" s="5" t="s">
        <v>24</v>
      </c>
      <c r="J171" s="7"/>
      <c r="K171" s="7"/>
      <c r="L171" s="8" t="s">
        <v>77</v>
      </c>
      <c r="M171" s="9">
        <v>45980.0</v>
      </c>
      <c r="N171" s="5"/>
      <c r="O171" s="5"/>
      <c r="P171" s="4">
        <v>4.562160139304E12</v>
      </c>
      <c r="Q171" s="7"/>
      <c r="R171" s="10"/>
      <c r="S171" s="10"/>
      <c r="T171" s="16"/>
      <c r="U171" s="12"/>
      <c r="V171" s="12"/>
      <c r="W171" s="12"/>
    </row>
    <row r="172" ht="14.25" customHeight="1">
      <c r="A172" s="2" t="s">
        <v>74</v>
      </c>
      <c r="B172" s="3" t="s">
        <v>43</v>
      </c>
      <c r="C172" s="4" t="s">
        <v>82</v>
      </c>
      <c r="D172" s="5" t="s">
        <v>83</v>
      </c>
      <c r="E172" s="3">
        <v>5.0</v>
      </c>
      <c r="F172" s="3">
        <v>549.0</v>
      </c>
      <c r="G172" s="6">
        <f t="shared" si="2"/>
        <v>2745</v>
      </c>
      <c r="H172" s="3" t="s">
        <v>23</v>
      </c>
      <c r="I172" s="5" t="s">
        <v>24</v>
      </c>
      <c r="J172" s="7"/>
      <c r="K172" s="7"/>
      <c r="L172" s="8" t="s">
        <v>77</v>
      </c>
      <c r="M172" s="9">
        <v>45980.0</v>
      </c>
      <c r="N172" s="5"/>
      <c r="O172" s="5"/>
      <c r="P172" s="4">
        <v>4.562160139069E12</v>
      </c>
      <c r="Q172" s="7"/>
      <c r="R172" s="10"/>
      <c r="S172" s="10"/>
      <c r="T172" s="16"/>
      <c r="U172" s="12"/>
      <c r="V172" s="12"/>
      <c r="W172" s="12"/>
    </row>
    <row r="173" ht="14.25" customHeight="1">
      <c r="A173" s="2" t="s">
        <v>74</v>
      </c>
      <c r="B173" s="3" t="s">
        <v>43</v>
      </c>
      <c r="C173" s="4" t="s">
        <v>84</v>
      </c>
      <c r="D173" s="5" t="s">
        <v>85</v>
      </c>
      <c r="E173" s="3">
        <v>6.0</v>
      </c>
      <c r="F173" s="3">
        <v>1786.0</v>
      </c>
      <c r="G173" s="6">
        <f t="shared" si="2"/>
        <v>10716</v>
      </c>
      <c r="H173" s="3" t="s">
        <v>23</v>
      </c>
      <c r="I173" s="5" t="s">
        <v>24</v>
      </c>
      <c r="J173" s="7"/>
      <c r="K173" s="7"/>
      <c r="L173" s="8" t="s">
        <v>77</v>
      </c>
      <c r="M173" s="9">
        <v>45980.0</v>
      </c>
      <c r="N173" s="5"/>
      <c r="O173" s="5"/>
      <c r="P173" s="4">
        <v>4.562160139779E12</v>
      </c>
      <c r="Q173" s="7"/>
      <c r="R173" s="10"/>
      <c r="S173" s="10"/>
      <c r="T173" s="16"/>
      <c r="U173" s="12"/>
      <c r="V173" s="12"/>
      <c r="W173" s="12"/>
    </row>
    <row r="174" ht="14.25" customHeight="1">
      <c r="A174" s="2" t="s">
        <v>74</v>
      </c>
      <c r="B174" s="3" t="s">
        <v>43</v>
      </c>
      <c r="C174" s="4" t="s">
        <v>86</v>
      </c>
      <c r="D174" s="5" t="s">
        <v>87</v>
      </c>
      <c r="E174" s="3">
        <v>1.0</v>
      </c>
      <c r="F174" s="3">
        <v>2150.0</v>
      </c>
      <c r="G174" s="6">
        <f t="shared" si="2"/>
        <v>2150</v>
      </c>
      <c r="H174" s="3" t="s">
        <v>23</v>
      </c>
      <c r="I174" s="5" t="s">
        <v>24</v>
      </c>
      <c r="J174" s="7"/>
      <c r="K174" s="7"/>
      <c r="L174" s="8" t="s">
        <v>77</v>
      </c>
      <c r="M174" s="9">
        <v>45980.0</v>
      </c>
      <c r="N174" s="5"/>
      <c r="O174" s="5"/>
      <c r="P174" s="4">
        <v>4.562160138437E12</v>
      </c>
      <c r="Q174" s="7"/>
      <c r="R174" s="10"/>
      <c r="S174" s="10"/>
      <c r="T174" s="16"/>
      <c r="U174" s="12"/>
      <c r="V174" s="12"/>
      <c r="W174" s="12"/>
    </row>
    <row r="175" ht="14.25" customHeight="1">
      <c r="A175" s="2" t="s">
        <v>74</v>
      </c>
      <c r="B175" s="3" t="s">
        <v>88</v>
      </c>
      <c r="C175" s="4" t="s">
        <v>89</v>
      </c>
      <c r="D175" s="5" t="s">
        <v>90</v>
      </c>
      <c r="E175" s="3">
        <v>3.0</v>
      </c>
      <c r="F175" s="3">
        <v>2029.0</v>
      </c>
      <c r="G175" s="6">
        <f t="shared" si="2"/>
        <v>6087</v>
      </c>
      <c r="H175" s="3" t="s">
        <v>23</v>
      </c>
      <c r="I175" s="5" t="s">
        <v>24</v>
      </c>
      <c r="J175" s="7"/>
      <c r="K175" s="7"/>
      <c r="L175" s="8" t="s">
        <v>77</v>
      </c>
      <c r="M175" s="9">
        <v>45980.0</v>
      </c>
      <c r="N175" s="5"/>
      <c r="O175" s="5"/>
      <c r="P175" s="4">
        <v>4.571360814003E12</v>
      </c>
      <c r="Q175" s="7"/>
      <c r="R175" s="10"/>
      <c r="S175" s="10"/>
      <c r="T175" s="16"/>
      <c r="U175" s="12"/>
      <c r="V175" s="12"/>
      <c r="W175" s="12"/>
    </row>
    <row r="176" ht="14.25" customHeight="1">
      <c r="A176" s="2" t="s">
        <v>74</v>
      </c>
      <c r="B176" s="3" t="s">
        <v>91</v>
      </c>
      <c r="C176" s="4" t="s">
        <v>92</v>
      </c>
      <c r="D176" s="5" t="s">
        <v>93</v>
      </c>
      <c r="E176" s="3">
        <v>20.0</v>
      </c>
      <c r="F176" s="3">
        <v>389.0</v>
      </c>
      <c r="G176" s="6">
        <v>7780.0</v>
      </c>
      <c r="H176" s="3" t="s">
        <v>94</v>
      </c>
      <c r="I176" s="5" t="s">
        <v>24</v>
      </c>
      <c r="J176" s="7"/>
      <c r="K176" s="7"/>
      <c r="L176" s="8" t="s">
        <v>77</v>
      </c>
      <c r="M176" s="9">
        <v>45980.0</v>
      </c>
      <c r="N176" s="5"/>
      <c r="O176" s="5"/>
      <c r="P176" s="4">
        <v>4.562349719556E12</v>
      </c>
      <c r="Q176" s="7"/>
      <c r="R176" s="10"/>
      <c r="S176" s="10"/>
      <c r="T176" s="16"/>
      <c r="U176" s="12"/>
      <c r="V176" s="12"/>
      <c r="W176" s="12"/>
    </row>
    <row r="177" ht="14.25" customHeight="1">
      <c r="A177" s="2" t="s">
        <v>74</v>
      </c>
      <c r="B177" s="3" t="s">
        <v>91</v>
      </c>
      <c r="C177" s="4" t="s">
        <v>95</v>
      </c>
      <c r="D177" s="5" t="s">
        <v>96</v>
      </c>
      <c r="E177" s="3">
        <v>10.0</v>
      </c>
      <c r="F177" s="3">
        <v>389.0</v>
      </c>
      <c r="G177" s="6">
        <f t="shared" ref="G177:G179" si="3">F177*E177</f>
        <v>3890</v>
      </c>
      <c r="H177" s="3" t="s">
        <v>94</v>
      </c>
      <c r="I177" s="5" t="s">
        <v>24</v>
      </c>
      <c r="J177" s="7"/>
      <c r="K177" s="7"/>
      <c r="L177" s="8" t="s">
        <v>77</v>
      </c>
      <c r="M177" s="9">
        <v>45980.0</v>
      </c>
      <c r="N177" s="5"/>
      <c r="O177" s="5"/>
      <c r="P177" s="4">
        <v>4.562349719549E12</v>
      </c>
      <c r="Q177" s="7"/>
      <c r="R177" s="10"/>
      <c r="S177" s="10"/>
      <c r="T177" s="16"/>
      <c r="U177" s="12"/>
      <c r="V177" s="12"/>
      <c r="W177" s="12"/>
    </row>
    <row r="178" ht="14.25" customHeight="1">
      <c r="A178" s="2" t="s">
        <v>74</v>
      </c>
      <c r="B178" s="3" t="s">
        <v>20</v>
      </c>
      <c r="C178" s="4" t="s">
        <v>97</v>
      </c>
      <c r="D178" s="5" t="s">
        <v>98</v>
      </c>
      <c r="E178" s="3">
        <v>5.0</v>
      </c>
      <c r="F178" s="3">
        <v>992.0</v>
      </c>
      <c r="G178" s="6">
        <f t="shared" si="3"/>
        <v>4960</v>
      </c>
      <c r="H178" s="3" t="s">
        <v>94</v>
      </c>
      <c r="I178" s="5" t="s">
        <v>24</v>
      </c>
      <c r="J178" s="7"/>
      <c r="K178" s="7"/>
      <c r="L178" s="8" t="s">
        <v>77</v>
      </c>
      <c r="M178" s="9">
        <v>45980.0</v>
      </c>
      <c r="N178" s="5"/>
      <c r="O178" s="5"/>
      <c r="P178" s="4">
        <v>4.589717872989E12</v>
      </c>
      <c r="Q178" s="7"/>
      <c r="R178" s="10"/>
      <c r="S178" s="10"/>
      <c r="T178" s="16"/>
      <c r="U178" s="12"/>
      <c r="V178" s="12"/>
      <c r="W178" s="12"/>
    </row>
    <row r="179" ht="14.25" customHeight="1">
      <c r="A179" s="2" t="s">
        <v>74</v>
      </c>
      <c r="B179" s="3" t="s">
        <v>43</v>
      </c>
      <c r="C179" s="4" t="s">
        <v>99</v>
      </c>
      <c r="D179" s="5" t="s">
        <v>100</v>
      </c>
      <c r="E179" s="3">
        <v>3.0</v>
      </c>
      <c r="F179" s="3">
        <v>1555.0</v>
      </c>
      <c r="G179" s="6">
        <f t="shared" si="3"/>
        <v>4665</v>
      </c>
      <c r="H179" s="3" t="s">
        <v>23</v>
      </c>
      <c r="I179" s="5" t="s">
        <v>24</v>
      </c>
      <c r="J179" s="7"/>
      <c r="K179" s="7"/>
      <c r="L179" s="8" t="s">
        <v>101</v>
      </c>
      <c r="M179" s="9">
        <v>46000.0</v>
      </c>
      <c r="N179" s="5"/>
      <c r="O179" s="5"/>
      <c r="P179" s="4">
        <v>4.562160138581E12</v>
      </c>
      <c r="Q179" s="7"/>
      <c r="R179" s="10">
        <v>16.9</v>
      </c>
      <c r="S179" s="10" t="s">
        <v>102</v>
      </c>
      <c r="T179" s="16"/>
      <c r="U179" s="12"/>
      <c r="V179" s="12"/>
      <c r="W179" s="12"/>
    </row>
    <row r="180" ht="14.25" customHeight="1">
      <c r="A180" s="2" t="s">
        <v>74</v>
      </c>
      <c r="B180" s="3" t="s">
        <v>43</v>
      </c>
      <c r="C180" s="4" t="s">
        <v>103</v>
      </c>
      <c r="D180" s="5" t="s">
        <v>104</v>
      </c>
      <c r="E180" s="3">
        <v>5.0</v>
      </c>
      <c r="F180" s="3">
        <v>549.0</v>
      </c>
      <c r="G180" s="6">
        <v>2745.0</v>
      </c>
      <c r="H180" s="3" t="s">
        <v>23</v>
      </c>
      <c r="I180" s="5" t="s">
        <v>24</v>
      </c>
      <c r="J180" s="7"/>
      <c r="K180" s="7"/>
      <c r="L180" s="8" t="s">
        <v>101</v>
      </c>
      <c r="M180" s="9">
        <v>45980.0</v>
      </c>
      <c r="N180" s="5"/>
      <c r="O180" s="5"/>
      <c r="P180" s="4">
        <v>4.562160139083E12</v>
      </c>
      <c r="Q180" s="7"/>
      <c r="R180" s="10"/>
      <c r="S180" s="10"/>
      <c r="T180" s="16"/>
      <c r="U180" s="12"/>
      <c r="V180" s="12"/>
      <c r="W180" s="12"/>
    </row>
    <row r="181" ht="14.25" customHeight="1">
      <c r="A181" s="2" t="s">
        <v>74</v>
      </c>
      <c r="B181" s="3" t="s">
        <v>43</v>
      </c>
      <c r="C181" s="4" t="s">
        <v>44</v>
      </c>
      <c r="D181" s="5" t="s">
        <v>45</v>
      </c>
      <c r="E181" s="3">
        <v>3.0</v>
      </c>
      <c r="F181" s="3">
        <v>3308.0</v>
      </c>
      <c r="G181" s="6">
        <f t="shared" ref="G181:G247" si="4">F181*E181</f>
        <v>9924</v>
      </c>
      <c r="H181" s="3" t="s">
        <v>23</v>
      </c>
      <c r="I181" s="5" t="s">
        <v>24</v>
      </c>
      <c r="J181" s="7"/>
      <c r="K181" s="7"/>
      <c r="L181" s="8" t="s">
        <v>101</v>
      </c>
      <c r="M181" s="9">
        <v>46000.0</v>
      </c>
      <c r="N181" s="5"/>
      <c r="O181" s="5"/>
      <c r="P181" s="4">
        <v>4.562160134415E12</v>
      </c>
      <c r="Q181" s="7"/>
      <c r="R181" s="10"/>
      <c r="S181" s="10"/>
      <c r="T181" s="16"/>
      <c r="U181" s="12"/>
      <c r="V181" s="12"/>
      <c r="W181" s="12"/>
    </row>
    <row r="182" ht="14.25" customHeight="1">
      <c r="A182" s="2" t="s">
        <v>74</v>
      </c>
      <c r="B182" s="3" t="s">
        <v>43</v>
      </c>
      <c r="C182" s="4" t="s">
        <v>105</v>
      </c>
      <c r="D182" s="5" t="s">
        <v>106</v>
      </c>
      <c r="E182" s="3">
        <v>3.0</v>
      </c>
      <c r="F182" s="3">
        <v>2150.0</v>
      </c>
      <c r="G182" s="6">
        <f t="shared" si="4"/>
        <v>6450</v>
      </c>
      <c r="H182" s="3" t="s">
        <v>23</v>
      </c>
      <c r="I182" s="5" t="s">
        <v>24</v>
      </c>
      <c r="J182" s="7"/>
      <c r="K182" s="7"/>
      <c r="L182" s="8" t="s">
        <v>101</v>
      </c>
      <c r="M182" s="9">
        <v>46000.0</v>
      </c>
      <c r="N182" s="5"/>
      <c r="O182" s="5"/>
      <c r="P182" s="4">
        <v>4.562160139519E12</v>
      </c>
      <c r="Q182" s="7"/>
      <c r="R182" s="10"/>
      <c r="S182" s="10"/>
      <c r="T182" s="16"/>
      <c r="U182" s="12"/>
      <c r="V182" s="12"/>
      <c r="W182" s="12"/>
    </row>
    <row r="183" ht="14.25" customHeight="1">
      <c r="A183" s="2" t="s">
        <v>74</v>
      </c>
      <c r="B183" s="3" t="s">
        <v>43</v>
      </c>
      <c r="C183" s="4" t="s">
        <v>107</v>
      </c>
      <c r="D183" s="5" t="s">
        <v>108</v>
      </c>
      <c r="E183" s="3">
        <v>5.0</v>
      </c>
      <c r="F183" s="3">
        <v>3099.0</v>
      </c>
      <c r="G183" s="6">
        <f t="shared" si="4"/>
        <v>15495</v>
      </c>
      <c r="H183" s="3" t="s">
        <v>23</v>
      </c>
      <c r="I183" s="5" t="s">
        <v>24</v>
      </c>
      <c r="J183" s="7"/>
      <c r="K183" s="7"/>
      <c r="L183" s="8" t="s">
        <v>101</v>
      </c>
      <c r="M183" s="9">
        <v>46000.0</v>
      </c>
      <c r="N183" s="5"/>
      <c r="O183" s="5" t="s">
        <v>109</v>
      </c>
      <c r="P183" s="4">
        <v>4.562160138758E12</v>
      </c>
      <c r="Q183" s="7"/>
      <c r="R183" s="10"/>
      <c r="S183" s="10"/>
      <c r="T183" s="16"/>
      <c r="U183" s="12"/>
      <c r="V183" s="12"/>
      <c r="W183" s="12"/>
    </row>
    <row r="184" ht="14.25" customHeight="1">
      <c r="A184" s="2" t="s">
        <v>74</v>
      </c>
      <c r="B184" s="3" t="s">
        <v>43</v>
      </c>
      <c r="C184" s="4" t="s">
        <v>110</v>
      </c>
      <c r="D184" s="5" t="s">
        <v>111</v>
      </c>
      <c r="E184" s="3">
        <v>5.0</v>
      </c>
      <c r="F184" s="3">
        <v>182.0</v>
      </c>
      <c r="G184" s="6">
        <f t="shared" si="4"/>
        <v>910</v>
      </c>
      <c r="H184" s="3" t="s">
        <v>94</v>
      </c>
      <c r="I184" s="5" t="s">
        <v>24</v>
      </c>
      <c r="J184" s="7"/>
      <c r="K184" s="7"/>
      <c r="L184" s="8" t="s">
        <v>112</v>
      </c>
      <c r="M184" s="9">
        <v>46000.0</v>
      </c>
      <c r="N184" s="5"/>
      <c r="O184" s="5"/>
      <c r="P184" s="4">
        <v>4.57116596657E12</v>
      </c>
      <c r="Q184" s="7"/>
      <c r="R184" s="10">
        <v>11.9</v>
      </c>
      <c r="S184" s="10" t="s">
        <v>113</v>
      </c>
      <c r="T184" s="16"/>
      <c r="U184" s="12"/>
      <c r="V184" s="12"/>
      <c r="W184" s="12"/>
    </row>
    <row r="185" ht="14.25" customHeight="1">
      <c r="A185" s="2" t="s">
        <v>74</v>
      </c>
      <c r="B185" s="3" t="s">
        <v>43</v>
      </c>
      <c r="C185" s="4" t="s">
        <v>114</v>
      </c>
      <c r="D185" s="5" t="s">
        <v>115</v>
      </c>
      <c r="E185" s="3">
        <v>40.0</v>
      </c>
      <c r="F185" s="3">
        <v>331.0</v>
      </c>
      <c r="G185" s="6">
        <f t="shared" si="4"/>
        <v>13240</v>
      </c>
      <c r="H185" s="3" t="s">
        <v>94</v>
      </c>
      <c r="I185" s="5" t="s">
        <v>24</v>
      </c>
      <c r="J185" s="7"/>
      <c r="K185" s="7"/>
      <c r="L185" s="8" t="s">
        <v>112</v>
      </c>
      <c r="M185" s="9">
        <v>46000.0</v>
      </c>
      <c r="N185" s="5"/>
      <c r="O185" s="5"/>
      <c r="P185" s="4">
        <v>4.571165963029E12</v>
      </c>
      <c r="Q185" s="7"/>
      <c r="R185" s="10"/>
      <c r="S185" s="10"/>
      <c r="T185" s="16"/>
      <c r="U185" s="12"/>
      <c r="V185" s="12"/>
      <c r="W185" s="12"/>
    </row>
    <row r="186" ht="14.25" customHeight="1">
      <c r="A186" s="2" t="s">
        <v>74</v>
      </c>
      <c r="B186" s="3" t="s">
        <v>43</v>
      </c>
      <c r="C186" s="4" t="s">
        <v>116</v>
      </c>
      <c r="D186" s="5" t="s">
        <v>117</v>
      </c>
      <c r="E186" s="3">
        <v>10.0</v>
      </c>
      <c r="F186" s="3">
        <v>182.0</v>
      </c>
      <c r="G186" s="6">
        <f t="shared" si="4"/>
        <v>1820</v>
      </c>
      <c r="H186" s="3" t="s">
        <v>94</v>
      </c>
      <c r="I186" s="5" t="s">
        <v>24</v>
      </c>
      <c r="J186" s="7"/>
      <c r="K186" s="7"/>
      <c r="L186" s="8" t="s">
        <v>112</v>
      </c>
      <c r="M186" s="9">
        <v>46000.0</v>
      </c>
      <c r="N186" s="5"/>
      <c r="O186" s="5"/>
      <c r="P186" s="4">
        <v>4.571165966549E12</v>
      </c>
      <c r="Q186" s="7"/>
      <c r="R186" s="10"/>
      <c r="S186" s="10"/>
      <c r="T186" s="16"/>
      <c r="U186" s="12"/>
      <c r="V186" s="12"/>
      <c r="W186" s="12"/>
    </row>
    <row r="187" ht="14.25" customHeight="1">
      <c r="A187" s="2" t="s">
        <v>74</v>
      </c>
      <c r="B187" s="3" t="s">
        <v>43</v>
      </c>
      <c r="C187" s="4" t="s">
        <v>75</v>
      </c>
      <c r="D187" s="5" t="s">
        <v>76</v>
      </c>
      <c r="E187" s="3">
        <v>5.0</v>
      </c>
      <c r="F187" s="3">
        <v>1555.0</v>
      </c>
      <c r="G187" s="6">
        <f t="shared" si="4"/>
        <v>7775</v>
      </c>
      <c r="H187" s="3" t="s">
        <v>23</v>
      </c>
      <c r="I187" s="5" t="s">
        <v>24</v>
      </c>
      <c r="J187" s="7"/>
      <c r="K187" s="7"/>
      <c r="L187" s="8" t="s">
        <v>118</v>
      </c>
      <c r="M187" s="9">
        <v>46000.0</v>
      </c>
      <c r="N187" s="5"/>
      <c r="O187" s="5" t="s">
        <v>119</v>
      </c>
      <c r="P187" s="4">
        <v>4.562160138598E12</v>
      </c>
      <c r="Q187" s="7"/>
      <c r="R187" s="10">
        <v>12.2</v>
      </c>
      <c r="S187" s="10" t="s">
        <v>120</v>
      </c>
      <c r="T187" s="16"/>
      <c r="U187" s="12"/>
      <c r="V187" s="12"/>
      <c r="W187" s="12"/>
    </row>
    <row r="188" ht="14.25" customHeight="1">
      <c r="A188" s="2" t="s">
        <v>74</v>
      </c>
      <c r="B188" s="3" t="s">
        <v>43</v>
      </c>
      <c r="C188" s="4" t="s">
        <v>121</v>
      </c>
      <c r="D188" s="5" t="s">
        <v>122</v>
      </c>
      <c r="E188" s="3">
        <v>5.0</v>
      </c>
      <c r="F188" s="3">
        <v>1786.0</v>
      </c>
      <c r="G188" s="6">
        <f t="shared" si="4"/>
        <v>8930</v>
      </c>
      <c r="H188" s="3" t="s">
        <v>23</v>
      </c>
      <c r="I188" s="5" t="s">
        <v>24</v>
      </c>
      <c r="J188" s="7"/>
      <c r="K188" s="7"/>
      <c r="L188" s="8" t="s">
        <v>118</v>
      </c>
      <c r="M188" s="9">
        <v>46000.0</v>
      </c>
      <c r="N188" s="5"/>
      <c r="O188" s="5" t="s">
        <v>123</v>
      </c>
      <c r="P188" s="4">
        <v>4.562160139106E12</v>
      </c>
      <c r="Q188" s="7"/>
      <c r="R188" s="10"/>
      <c r="S188" s="10"/>
      <c r="T188" s="16"/>
      <c r="U188" s="12"/>
      <c r="V188" s="12"/>
      <c r="W188" s="12"/>
    </row>
    <row r="189" ht="14.25" customHeight="1">
      <c r="A189" s="2" t="s">
        <v>74</v>
      </c>
      <c r="B189" s="3" t="s">
        <v>43</v>
      </c>
      <c r="C189" s="4" t="s">
        <v>124</v>
      </c>
      <c r="D189" s="5" t="s">
        <v>125</v>
      </c>
      <c r="E189" s="3">
        <v>5.0</v>
      </c>
      <c r="F189" s="3">
        <v>2183.0</v>
      </c>
      <c r="G189" s="6">
        <f t="shared" si="4"/>
        <v>10915</v>
      </c>
      <c r="H189" s="3" t="s">
        <v>23</v>
      </c>
      <c r="I189" s="5" t="s">
        <v>24</v>
      </c>
      <c r="J189" s="7"/>
      <c r="K189" s="7"/>
      <c r="L189" s="8" t="s">
        <v>118</v>
      </c>
      <c r="M189" s="9">
        <v>46000.0</v>
      </c>
      <c r="N189" s="5"/>
      <c r="O189" s="5"/>
      <c r="P189" s="4">
        <v>4.562160135047E12</v>
      </c>
      <c r="Q189" s="7"/>
      <c r="R189" s="10"/>
      <c r="S189" s="10"/>
      <c r="T189" s="16"/>
      <c r="U189" s="12"/>
      <c r="V189" s="12"/>
      <c r="W189" s="12"/>
    </row>
    <row r="190" ht="14.25" customHeight="1">
      <c r="A190" s="2" t="s">
        <v>74</v>
      </c>
      <c r="B190" s="3" t="s">
        <v>43</v>
      </c>
      <c r="C190" s="4" t="s">
        <v>126</v>
      </c>
      <c r="D190" s="5" t="s">
        <v>127</v>
      </c>
      <c r="E190" s="3">
        <v>10.0</v>
      </c>
      <c r="F190" s="3">
        <v>1786.0</v>
      </c>
      <c r="G190" s="6">
        <f t="shared" si="4"/>
        <v>17860</v>
      </c>
      <c r="H190" s="3" t="s">
        <v>23</v>
      </c>
      <c r="I190" s="5" t="s">
        <v>24</v>
      </c>
      <c r="J190" s="7"/>
      <c r="K190" s="7"/>
      <c r="L190" s="8" t="s">
        <v>128</v>
      </c>
      <c r="M190" s="9">
        <v>46000.0</v>
      </c>
      <c r="N190" s="5"/>
      <c r="O190" s="5" t="s">
        <v>123</v>
      </c>
      <c r="P190" s="4">
        <v>4.562160136488E12</v>
      </c>
      <c r="Q190" s="7"/>
      <c r="R190" s="10">
        <v>7.1</v>
      </c>
      <c r="S190" s="10" t="s">
        <v>129</v>
      </c>
      <c r="T190" s="16"/>
      <c r="U190" s="12"/>
      <c r="V190" s="12"/>
      <c r="W190" s="12"/>
    </row>
    <row r="191" ht="14.25" customHeight="1">
      <c r="A191" s="2" t="s">
        <v>74</v>
      </c>
      <c r="B191" s="3" t="s">
        <v>43</v>
      </c>
      <c r="C191" s="4" t="s">
        <v>130</v>
      </c>
      <c r="D191" s="5" t="s">
        <v>131</v>
      </c>
      <c r="E191" s="3">
        <v>3.0</v>
      </c>
      <c r="F191" s="3">
        <v>1080.0</v>
      </c>
      <c r="G191" s="6">
        <f t="shared" si="4"/>
        <v>3240</v>
      </c>
      <c r="H191" s="3" t="s">
        <v>23</v>
      </c>
      <c r="I191" s="5" t="s">
        <v>24</v>
      </c>
      <c r="J191" s="7"/>
      <c r="K191" s="7"/>
      <c r="L191" s="8" t="s">
        <v>132</v>
      </c>
      <c r="M191" s="9">
        <v>46000.0</v>
      </c>
      <c r="N191" s="5"/>
      <c r="O191" s="5"/>
      <c r="P191" s="4">
        <v>4.562160139601E12</v>
      </c>
      <c r="Q191" s="7"/>
      <c r="R191" s="10">
        <v>24.0</v>
      </c>
      <c r="S191" s="10" t="s">
        <v>133</v>
      </c>
      <c r="T191" s="16"/>
      <c r="U191" s="12"/>
      <c r="V191" s="12"/>
      <c r="W191" s="12"/>
    </row>
    <row r="192" ht="14.25" customHeight="1">
      <c r="A192" s="2" t="s">
        <v>74</v>
      </c>
      <c r="B192" s="3" t="s">
        <v>43</v>
      </c>
      <c r="C192" s="4" t="s">
        <v>103</v>
      </c>
      <c r="D192" s="5" t="s">
        <v>104</v>
      </c>
      <c r="E192" s="3">
        <v>5.0</v>
      </c>
      <c r="F192" s="3">
        <v>549.0</v>
      </c>
      <c r="G192" s="6">
        <f t="shared" si="4"/>
        <v>2745</v>
      </c>
      <c r="H192" s="3" t="s">
        <v>23</v>
      </c>
      <c r="I192" s="5" t="s">
        <v>24</v>
      </c>
      <c r="J192" s="7"/>
      <c r="K192" s="7"/>
      <c r="L192" s="8" t="s">
        <v>132</v>
      </c>
      <c r="M192" s="9">
        <v>46000.0</v>
      </c>
      <c r="N192" s="5"/>
      <c r="O192" s="5" t="s">
        <v>134</v>
      </c>
      <c r="P192" s="4">
        <v>4.562160139083E12</v>
      </c>
      <c r="Q192" s="7"/>
      <c r="R192" s="10"/>
      <c r="S192" s="10"/>
      <c r="T192" s="16"/>
      <c r="U192" s="12"/>
      <c r="V192" s="12"/>
      <c r="W192" s="12"/>
    </row>
    <row r="193" ht="14.25" customHeight="1">
      <c r="A193" s="2" t="s">
        <v>74</v>
      </c>
      <c r="B193" s="3" t="s">
        <v>43</v>
      </c>
      <c r="C193" s="4" t="s">
        <v>135</v>
      </c>
      <c r="D193" s="5" t="s">
        <v>136</v>
      </c>
      <c r="E193" s="3">
        <v>5.0</v>
      </c>
      <c r="F193" s="3">
        <v>549.0</v>
      </c>
      <c r="G193" s="6">
        <f t="shared" si="4"/>
        <v>2745</v>
      </c>
      <c r="H193" s="3" t="s">
        <v>23</v>
      </c>
      <c r="I193" s="5" t="s">
        <v>24</v>
      </c>
      <c r="J193" s="7"/>
      <c r="K193" s="7"/>
      <c r="L193" s="8" t="s">
        <v>132</v>
      </c>
      <c r="M193" s="9">
        <v>46000.0</v>
      </c>
      <c r="N193" s="5"/>
      <c r="O193" s="5"/>
      <c r="P193" s="4">
        <v>4.562160139977E12</v>
      </c>
      <c r="Q193" s="7"/>
      <c r="R193" s="10"/>
      <c r="S193" s="10"/>
      <c r="T193" s="16"/>
      <c r="U193" s="12"/>
      <c r="V193" s="12"/>
      <c r="W193" s="12"/>
    </row>
    <row r="194" ht="14.25" customHeight="1">
      <c r="A194" s="2" t="s">
        <v>74</v>
      </c>
      <c r="B194" s="3" t="s">
        <v>43</v>
      </c>
      <c r="C194" s="4" t="s">
        <v>137</v>
      </c>
      <c r="D194" s="5" t="s">
        <v>138</v>
      </c>
      <c r="E194" s="3">
        <v>5.0</v>
      </c>
      <c r="F194" s="3">
        <v>3308.0</v>
      </c>
      <c r="G194" s="6">
        <f t="shared" si="4"/>
        <v>16540</v>
      </c>
      <c r="H194" s="3" t="s">
        <v>23</v>
      </c>
      <c r="I194" s="5" t="s">
        <v>24</v>
      </c>
      <c r="J194" s="7"/>
      <c r="K194" s="7"/>
      <c r="L194" s="8" t="s">
        <v>132</v>
      </c>
      <c r="M194" s="9">
        <v>46000.0</v>
      </c>
      <c r="N194" s="5"/>
      <c r="O194" s="5"/>
      <c r="P194" s="4">
        <v>4.562160137348E12</v>
      </c>
      <c r="Q194" s="7"/>
      <c r="R194" s="10"/>
      <c r="S194" s="10"/>
      <c r="T194" s="16"/>
      <c r="U194" s="12"/>
      <c r="V194" s="12"/>
      <c r="W194" s="12"/>
    </row>
    <row r="195" ht="14.25" customHeight="1">
      <c r="A195" s="2" t="s">
        <v>74</v>
      </c>
      <c r="B195" s="3" t="s">
        <v>43</v>
      </c>
      <c r="C195" s="4" t="s">
        <v>139</v>
      </c>
      <c r="D195" s="5" t="s">
        <v>140</v>
      </c>
      <c r="E195" s="3">
        <v>5.0</v>
      </c>
      <c r="F195" s="3">
        <v>2867.0</v>
      </c>
      <c r="G195" s="6">
        <f t="shared" si="4"/>
        <v>14335</v>
      </c>
      <c r="H195" s="3" t="s">
        <v>23</v>
      </c>
      <c r="I195" s="5" t="s">
        <v>24</v>
      </c>
      <c r="J195" s="7"/>
      <c r="K195" s="7"/>
      <c r="L195" s="8" t="s">
        <v>132</v>
      </c>
      <c r="M195" s="9">
        <v>46000.0</v>
      </c>
      <c r="N195" s="5"/>
      <c r="O195" s="5"/>
      <c r="P195" s="4">
        <v>4.562160138147E12</v>
      </c>
      <c r="Q195" s="7"/>
      <c r="R195" s="10"/>
      <c r="S195" s="10"/>
      <c r="T195" s="16"/>
      <c r="U195" s="12"/>
      <c r="V195" s="12"/>
      <c r="W195" s="12"/>
    </row>
    <row r="196" ht="14.25" customHeight="1">
      <c r="A196" s="2" t="s">
        <v>74</v>
      </c>
      <c r="B196" s="3" t="s">
        <v>43</v>
      </c>
      <c r="C196" s="4" t="s">
        <v>141</v>
      </c>
      <c r="D196" s="5" t="s">
        <v>142</v>
      </c>
      <c r="E196" s="3">
        <v>5.0</v>
      </c>
      <c r="F196" s="3">
        <v>3308.0</v>
      </c>
      <c r="G196" s="6">
        <f t="shared" si="4"/>
        <v>16540</v>
      </c>
      <c r="H196" s="3" t="s">
        <v>23</v>
      </c>
      <c r="I196" s="5" t="s">
        <v>24</v>
      </c>
      <c r="J196" s="7"/>
      <c r="K196" s="7"/>
      <c r="L196" s="8" t="s">
        <v>132</v>
      </c>
      <c r="M196" s="9">
        <v>46000.0</v>
      </c>
      <c r="N196" s="5"/>
      <c r="O196" s="5"/>
      <c r="P196" s="4">
        <v>4.562160138987E12</v>
      </c>
      <c r="Q196" s="7"/>
      <c r="R196" s="10"/>
      <c r="S196" s="10"/>
      <c r="T196" s="16"/>
      <c r="U196" s="12"/>
      <c r="V196" s="12"/>
      <c r="W196" s="12"/>
    </row>
    <row r="197" ht="14.25" customHeight="1">
      <c r="A197" s="2" t="s">
        <v>74</v>
      </c>
      <c r="B197" s="3" t="s">
        <v>143</v>
      </c>
      <c r="C197" s="4" t="s">
        <v>144</v>
      </c>
      <c r="D197" s="5" t="s">
        <v>145</v>
      </c>
      <c r="E197" s="3">
        <v>3.0</v>
      </c>
      <c r="F197" s="3">
        <v>1561.0</v>
      </c>
      <c r="G197" s="6">
        <f t="shared" si="4"/>
        <v>4683</v>
      </c>
      <c r="H197" s="3" t="s">
        <v>23</v>
      </c>
      <c r="I197" s="5" t="s">
        <v>24</v>
      </c>
      <c r="J197" s="7"/>
      <c r="K197" s="7"/>
      <c r="L197" s="8" t="s">
        <v>132</v>
      </c>
      <c r="M197" s="9">
        <v>46000.0</v>
      </c>
      <c r="N197" s="5"/>
      <c r="O197" s="5"/>
      <c r="P197" s="4">
        <v>4.571361305326E12</v>
      </c>
      <c r="Q197" s="7"/>
      <c r="R197" s="10"/>
      <c r="S197" s="10"/>
      <c r="T197" s="16"/>
      <c r="U197" s="12"/>
      <c r="V197" s="12"/>
      <c r="W197" s="12"/>
    </row>
    <row r="198" ht="14.25" customHeight="1">
      <c r="A198" s="2" t="s">
        <v>74</v>
      </c>
      <c r="B198" s="3" t="s">
        <v>43</v>
      </c>
      <c r="C198" s="4" t="s">
        <v>146</v>
      </c>
      <c r="D198" s="5" t="s">
        <v>147</v>
      </c>
      <c r="E198" s="3">
        <v>5.0</v>
      </c>
      <c r="F198" s="3">
        <v>182.0</v>
      </c>
      <c r="G198" s="6">
        <f t="shared" si="4"/>
        <v>910</v>
      </c>
      <c r="H198" s="3" t="s">
        <v>94</v>
      </c>
      <c r="I198" s="5" t="s">
        <v>24</v>
      </c>
      <c r="J198" s="7"/>
      <c r="K198" s="7"/>
      <c r="L198" s="8" t="s">
        <v>148</v>
      </c>
      <c r="M198" s="9">
        <v>46000.0</v>
      </c>
      <c r="N198" s="5"/>
      <c r="O198" s="5"/>
      <c r="P198" s="4">
        <v>4.57116596743E12</v>
      </c>
      <c r="Q198" s="7"/>
      <c r="R198" s="10">
        <v>15.2</v>
      </c>
      <c r="S198" s="10" t="s">
        <v>149</v>
      </c>
      <c r="T198" s="16"/>
      <c r="U198" s="12"/>
      <c r="V198" s="12"/>
      <c r="W198" s="12"/>
    </row>
    <row r="199" ht="14.25" customHeight="1">
      <c r="A199" s="2" t="s">
        <v>74</v>
      </c>
      <c r="B199" s="3" t="s">
        <v>43</v>
      </c>
      <c r="C199" s="4" t="s">
        <v>150</v>
      </c>
      <c r="D199" s="5" t="s">
        <v>151</v>
      </c>
      <c r="E199" s="3">
        <v>15.0</v>
      </c>
      <c r="F199" s="3">
        <v>182.0</v>
      </c>
      <c r="G199" s="6">
        <f t="shared" si="4"/>
        <v>2730</v>
      </c>
      <c r="H199" s="3" t="s">
        <v>94</v>
      </c>
      <c r="I199" s="5" t="s">
        <v>24</v>
      </c>
      <c r="J199" s="7"/>
      <c r="K199" s="7"/>
      <c r="L199" s="8" t="s">
        <v>148</v>
      </c>
      <c r="M199" s="9">
        <v>46000.0</v>
      </c>
      <c r="N199" s="5"/>
      <c r="O199" s="5"/>
      <c r="P199" s="4">
        <v>4.571165966884E12</v>
      </c>
      <c r="Q199" s="7"/>
      <c r="R199" s="10"/>
      <c r="S199" s="10"/>
      <c r="T199" s="16"/>
      <c r="U199" s="12"/>
      <c r="V199" s="12"/>
      <c r="W199" s="12"/>
    </row>
    <row r="200" ht="14.25" customHeight="1">
      <c r="A200" s="2" t="s">
        <v>74</v>
      </c>
      <c r="B200" s="3" t="s">
        <v>43</v>
      </c>
      <c r="C200" s="4" t="s">
        <v>152</v>
      </c>
      <c r="D200" s="5" t="s">
        <v>153</v>
      </c>
      <c r="E200" s="3">
        <v>15.0</v>
      </c>
      <c r="F200" s="3">
        <v>182.0</v>
      </c>
      <c r="G200" s="6">
        <f t="shared" si="4"/>
        <v>2730</v>
      </c>
      <c r="H200" s="3" t="s">
        <v>94</v>
      </c>
      <c r="I200" s="5" t="s">
        <v>24</v>
      </c>
      <c r="J200" s="7"/>
      <c r="K200" s="7"/>
      <c r="L200" s="8" t="s">
        <v>148</v>
      </c>
      <c r="M200" s="9">
        <v>46000.0</v>
      </c>
      <c r="N200" s="5"/>
      <c r="O200" s="5"/>
      <c r="P200" s="4">
        <v>4.571165966891E12</v>
      </c>
      <c r="Q200" s="7"/>
      <c r="R200" s="10"/>
      <c r="S200" s="10"/>
      <c r="T200" s="16"/>
      <c r="U200" s="12"/>
      <c r="V200" s="12"/>
      <c r="W200" s="12"/>
    </row>
    <row r="201" ht="14.25" customHeight="1">
      <c r="A201" s="2" t="s">
        <v>74</v>
      </c>
      <c r="B201" s="3" t="s">
        <v>43</v>
      </c>
      <c r="C201" s="4" t="s">
        <v>154</v>
      </c>
      <c r="D201" s="5" t="s">
        <v>155</v>
      </c>
      <c r="E201" s="3">
        <v>10.0</v>
      </c>
      <c r="F201" s="3">
        <v>182.0</v>
      </c>
      <c r="G201" s="6">
        <f t="shared" si="4"/>
        <v>1820</v>
      </c>
      <c r="H201" s="3" t="s">
        <v>94</v>
      </c>
      <c r="I201" s="5" t="s">
        <v>24</v>
      </c>
      <c r="J201" s="7"/>
      <c r="K201" s="7"/>
      <c r="L201" s="8" t="s">
        <v>148</v>
      </c>
      <c r="M201" s="9">
        <v>46000.0</v>
      </c>
      <c r="N201" s="5"/>
      <c r="O201" s="5"/>
      <c r="P201" s="4">
        <v>4.571165966518E12</v>
      </c>
      <c r="Q201" s="7"/>
      <c r="R201" s="10"/>
      <c r="S201" s="10"/>
      <c r="T201" s="16"/>
      <c r="U201" s="12"/>
      <c r="V201" s="12"/>
      <c r="W201" s="12"/>
    </row>
    <row r="202" ht="14.25" customHeight="1">
      <c r="A202" s="2" t="s">
        <v>74</v>
      </c>
      <c r="B202" s="3" t="s">
        <v>43</v>
      </c>
      <c r="C202" s="4" t="s">
        <v>156</v>
      </c>
      <c r="D202" s="5" t="s">
        <v>157</v>
      </c>
      <c r="E202" s="3">
        <v>5.0</v>
      </c>
      <c r="F202" s="3">
        <v>182.0</v>
      </c>
      <c r="G202" s="6">
        <f t="shared" si="4"/>
        <v>910</v>
      </c>
      <c r="H202" s="3" t="s">
        <v>94</v>
      </c>
      <c r="I202" s="5" t="s">
        <v>24</v>
      </c>
      <c r="J202" s="7"/>
      <c r="K202" s="7"/>
      <c r="L202" s="8" t="s">
        <v>148</v>
      </c>
      <c r="M202" s="9">
        <v>46000.0</v>
      </c>
      <c r="N202" s="5"/>
      <c r="O202" s="5"/>
      <c r="P202" s="4">
        <v>4.571165967379E12</v>
      </c>
      <c r="Q202" s="7"/>
      <c r="R202" s="10"/>
      <c r="S202" s="10"/>
      <c r="T202" s="16"/>
      <c r="U202" s="12"/>
      <c r="V202" s="12"/>
      <c r="W202" s="12"/>
    </row>
    <row r="203" ht="14.25" customHeight="1">
      <c r="A203" s="2" t="s">
        <v>74</v>
      </c>
      <c r="B203" s="3" t="s">
        <v>43</v>
      </c>
      <c r="C203" s="4" t="s">
        <v>158</v>
      </c>
      <c r="D203" s="5" t="s">
        <v>159</v>
      </c>
      <c r="E203" s="3">
        <v>5.0</v>
      </c>
      <c r="F203" s="3">
        <v>182.0</v>
      </c>
      <c r="G203" s="6">
        <f t="shared" si="4"/>
        <v>910</v>
      </c>
      <c r="H203" s="3" t="s">
        <v>94</v>
      </c>
      <c r="I203" s="5" t="s">
        <v>24</v>
      </c>
      <c r="J203" s="7"/>
      <c r="K203" s="7"/>
      <c r="L203" s="8" t="s">
        <v>148</v>
      </c>
      <c r="M203" s="9">
        <v>46000.0</v>
      </c>
      <c r="N203" s="5"/>
      <c r="O203" s="5"/>
      <c r="P203" s="4">
        <v>4.571165967232E12</v>
      </c>
      <c r="Q203" s="7"/>
      <c r="R203" s="10"/>
      <c r="S203" s="10"/>
      <c r="T203" s="16"/>
      <c r="U203" s="12"/>
      <c r="V203" s="12"/>
      <c r="W203" s="12"/>
    </row>
    <row r="204" ht="14.25" customHeight="1">
      <c r="A204" s="2" t="s">
        <v>74</v>
      </c>
      <c r="B204" s="3" t="s">
        <v>143</v>
      </c>
      <c r="C204" s="4" t="s">
        <v>160</v>
      </c>
      <c r="D204" s="5" t="s">
        <v>161</v>
      </c>
      <c r="E204" s="3">
        <v>5.0</v>
      </c>
      <c r="F204" s="3">
        <v>397.0</v>
      </c>
      <c r="G204" s="6">
        <f t="shared" si="4"/>
        <v>1985</v>
      </c>
      <c r="H204" s="3" t="s">
        <v>94</v>
      </c>
      <c r="I204" s="5" t="s">
        <v>24</v>
      </c>
      <c r="J204" s="7"/>
      <c r="K204" s="7"/>
      <c r="L204" s="8" t="s">
        <v>148</v>
      </c>
      <c r="M204" s="9">
        <v>46000.0</v>
      </c>
      <c r="N204" s="5"/>
      <c r="O204" s="5"/>
      <c r="P204" s="4">
        <v>4.571361304534E12</v>
      </c>
      <c r="Q204" s="7"/>
      <c r="R204" s="10"/>
      <c r="S204" s="10"/>
      <c r="T204" s="16"/>
      <c r="U204" s="12"/>
      <c r="V204" s="12"/>
      <c r="W204" s="12"/>
    </row>
    <row r="205" ht="14.25" customHeight="1">
      <c r="A205" s="2" t="s">
        <v>74</v>
      </c>
      <c r="B205" s="3" t="s">
        <v>143</v>
      </c>
      <c r="C205" s="4" t="s">
        <v>162</v>
      </c>
      <c r="D205" s="5" t="s">
        <v>163</v>
      </c>
      <c r="E205" s="3">
        <v>5.0</v>
      </c>
      <c r="F205" s="3">
        <v>397.0</v>
      </c>
      <c r="G205" s="6">
        <f t="shared" si="4"/>
        <v>1985</v>
      </c>
      <c r="H205" s="3" t="s">
        <v>94</v>
      </c>
      <c r="I205" s="5" t="s">
        <v>24</v>
      </c>
      <c r="J205" s="7"/>
      <c r="K205" s="7"/>
      <c r="L205" s="8" t="s">
        <v>148</v>
      </c>
      <c r="M205" s="9">
        <v>46000.0</v>
      </c>
      <c r="N205" s="5"/>
      <c r="O205" s="5"/>
      <c r="P205" s="4">
        <v>4.571361305593E12</v>
      </c>
      <c r="Q205" s="7"/>
      <c r="R205" s="10"/>
      <c r="S205" s="10"/>
      <c r="T205" s="16"/>
      <c r="U205" s="12"/>
      <c r="V205" s="12"/>
      <c r="W205" s="12"/>
    </row>
    <row r="206" ht="14.25" customHeight="1">
      <c r="A206" s="2" t="s">
        <v>74</v>
      </c>
      <c r="B206" s="3" t="s">
        <v>143</v>
      </c>
      <c r="C206" s="4" t="s">
        <v>164</v>
      </c>
      <c r="D206" s="5" t="s">
        <v>165</v>
      </c>
      <c r="E206" s="3">
        <v>5.0</v>
      </c>
      <c r="F206" s="3">
        <v>397.0</v>
      </c>
      <c r="G206" s="6">
        <f t="shared" si="4"/>
        <v>1985</v>
      </c>
      <c r="H206" s="3" t="s">
        <v>94</v>
      </c>
      <c r="I206" s="5" t="s">
        <v>24</v>
      </c>
      <c r="J206" s="7"/>
      <c r="K206" s="7"/>
      <c r="L206" s="8" t="s">
        <v>148</v>
      </c>
      <c r="M206" s="9">
        <v>46000.0</v>
      </c>
      <c r="N206" s="5"/>
      <c r="O206" s="5"/>
      <c r="P206" s="4">
        <v>4.571361305616E12</v>
      </c>
      <c r="Q206" s="7"/>
      <c r="R206" s="10"/>
      <c r="S206" s="10"/>
      <c r="T206" s="16"/>
      <c r="U206" s="12"/>
      <c r="V206" s="12"/>
      <c r="W206" s="12"/>
    </row>
    <row r="207" ht="14.25" customHeight="1">
      <c r="A207" s="2" t="s">
        <v>74</v>
      </c>
      <c r="B207" s="3" t="s">
        <v>91</v>
      </c>
      <c r="C207" s="4" t="s">
        <v>95</v>
      </c>
      <c r="D207" s="5" t="s">
        <v>96</v>
      </c>
      <c r="E207" s="3">
        <v>10.0</v>
      </c>
      <c r="F207" s="3">
        <v>389.0</v>
      </c>
      <c r="G207" s="6">
        <f t="shared" si="4"/>
        <v>3890</v>
      </c>
      <c r="H207" s="3" t="s">
        <v>94</v>
      </c>
      <c r="I207" s="5" t="s">
        <v>24</v>
      </c>
      <c r="J207" s="7"/>
      <c r="K207" s="7"/>
      <c r="L207" s="8" t="s">
        <v>148</v>
      </c>
      <c r="M207" s="9">
        <v>46000.0</v>
      </c>
      <c r="N207" s="5"/>
      <c r="O207" s="5"/>
      <c r="P207" s="4">
        <v>4.562349719549E12</v>
      </c>
      <c r="Q207" s="7"/>
      <c r="R207" s="10"/>
      <c r="S207" s="10"/>
      <c r="T207" s="16"/>
      <c r="U207" s="12"/>
      <c r="V207" s="12"/>
      <c r="W207" s="12"/>
    </row>
    <row r="208" ht="14.25" customHeight="1">
      <c r="A208" s="2" t="s">
        <v>74</v>
      </c>
      <c r="B208" s="3" t="s">
        <v>91</v>
      </c>
      <c r="C208" s="4" t="s">
        <v>92</v>
      </c>
      <c r="D208" s="5" t="s">
        <v>93</v>
      </c>
      <c r="E208" s="3">
        <v>15.0</v>
      </c>
      <c r="F208" s="3">
        <v>389.0</v>
      </c>
      <c r="G208" s="6">
        <f t="shared" si="4"/>
        <v>5835</v>
      </c>
      <c r="H208" s="3" t="s">
        <v>94</v>
      </c>
      <c r="I208" s="5" t="s">
        <v>24</v>
      </c>
      <c r="J208" s="7"/>
      <c r="K208" s="7"/>
      <c r="L208" s="8" t="s">
        <v>148</v>
      </c>
      <c r="M208" s="9">
        <v>46000.0</v>
      </c>
      <c r="N208" s="5"/>
      <c r="O208" s="5"/>
      <c r="P208" s="4">
        <v>4.562349719556E12</v>
      </c>
      <c r="Q208" s="7"/>
      <c r="R208" s="10"/>
      <c r="S208" s="10"/>
      <c r="T208" s="16"/>
      <c r="U208" s="12"/>
      <c r="V208" s="12"/>
      <c r="W208" s="12"/>
    </row>
    <row r="209" ht="14.25" customHeight="1">
      <c r="A209" s="2" t="s">
        <v>166</v>
      </c>
      <c r="B209" s="3" t="s">
        <v>43</v>
      </c>
      <c r="C209" s="4" t="s">
        <v>52</v>
      </c>
      <c r="D209" s="5" t="s">
        <v>53</v>
      </c>
      <c r="E209" s="3">
        <v>3.0</v>
      </c>
      <c r="F209" s="3">
        <v>3308.0</v>
      </c>
      <c r="G209" s="6">
        <f t="shared" si="4"/>
        <v>9924</v>
      </c>
      <c r="H209" s="3" t="s">
        <v>23</v>
      </c>
      <c r="I209" s="5" t="s">
        <v>24</v>
      </c>
      <c r="J209" s="7"/>
      <c r="K209" s="7"/>
      <c r="L209" s="8" t="s">
        <v>167</v>
      </c>
      <c r="M209" s="9">
        <v>46000.0</v>
      </c>
      <c r="N209" s="5"/>
      <c r="O209" s="5"/>
      <c r="P209" s="4">
        <v>4.562160134101E12</v>
      </c>
      <c r="Q209" s="7"/>
      <c r="R209" s="10">
        <v>16.1</v>
      </c>
      <c r="S209" s="10" t="s">
        <v>168</v>
      </c>
      <c r="T209" s="16"/>
      <c r="U209" s="12"/>
      <c r="V209" s="12"/>
      <c r="W209" s="12"/>
    </row>
    <row r="210" ht="14.25" customHeight="1">
      <c r="A210" s="2" t="s">
        <v>166</v>
      </c>
      <c r="B210" s="3" t="s">
        <v>43</v>
      </c>
      <c r="C210" s="4" t="s">
        <v>169</v>
      </c>
      <c r="D210" s="5" t="s">
        <v>170</v>
      </c>
      <c r="E210" s="3">
        <v>5.0</v>
      </c>
      <c r="F210" s="3">
        <v>3308.0</v>
      </c>
      <c r="G210" s="6">
        <f t="shared" si="4"/>
        <v>16540</v>
      </c>
      <c r="H210" s="3" t="s">
        <v>23</v>
      </c>
      <c r="I210" s="5" t="s">
        <v>24</v>
      </c>
      <c r="J210" s="7"/>
      <c r="K210" s="7"/>
      <c r="L210" s="8" t="s">
        <v>167</v>
      </c>
      <c r="M210" s="9">
        <v>46000.0</v>
      </c>
      <c r="N210" s="5"/>
      <c r="O210" s="5"/>
      <c r="P210" s="4">
        <v>4.562160135139E12</v>
      </c>
      <c r="Q210" s="7"/>
      <c r="R210" s="10"/>
      <c r="S210" s="10"/>
      <c r="T210" s="16"/>
      <c r="U210" s="12"/>
      <c r="V210" s="12"/>
      <c r="W210" s="12"/>
    </row>
    <row r="211" ht="14.25" customHeight="1">
      <c r="A211" s="2" t="s">
        <v>166</v>
      </c>
      <c r="B211" s="3" t="s">
        <v>46</v>
      </c>
      <c r="C211" s="4" t="s">
        <v>47</v>
      </c>
      <c r="D211" s="5" t="s">
        <v>48</v>
      </c>
      <c r="E211" s="3">
        <v>5.0</v>
      </c>
      <c r="F211" s="3">
        <v>1400.0</v>
      </c>
      <c r="G211" s="6">
        <f t="shared" si="4"/>
        <v>7000</v>
      </c>
      <c r="H211" s="3" t="s">
        <v>23</v>
      </c>
      <c r="I211" s="5" t="s">
        <v>24</v>
      </c>
      <c r="J211" s="7"/>
      <c r="K211" s="7"/>
      <c r="L211" s="8" t="s">
        <v>167</v>
      </c>
      <c r="M211" s="9">
        <v>45980.0</v>
      </c>
      <c r="N211" s="5"/>
      <c r="O211" s="5"/>
      <c r="P211" s="4">
        <v>4.562309513798E12</v>
      </c>
      <c r="Q211" s="7"/>
      <c r="R211" s="10"/>
      <c r="S211" s="10"/>
      <c r="T211" s="16"/>
      <c r="U211" s="12"/>
      <c r="V211" s="12"/>
      <c r="W211" s="12"/>
    </row>
    <row r="212" ht="14.25" customHeight="1">
      <c r="A212" s="2" t="s">
        <v>166</v>
      </c>
      <c r="B212" s="3" t="s">
        <v>88</v>
      </c>
      <c r="C212" s="4" t="s">
        <v>171</v>
      </c>
      <c r="D212" s="5" t="s">
        <v>172</v>
      </c>
      <c r="E212" s="3">
        <v>3.0</v>
      </c>
      <c r="F212" s="3">
        <v>1764.0</v>
      </c>
      <c r="G212" s="6">
        <f t="shared" si="4"/>
        <v>5292</v>
      </c>
      <c r="H212" s="3" t="s">
        <v>23</v>
      </c>
      <c r="I212" s="5" t="s">
        <v>24</v>
      </c>
      <c r="J212" s="7"/>
      <c r="K212" s="7"/>
      <c r="L212" s="8" t="s">
        <v>167</v>
      </c>
      <c r="M212" s="9">
        <v>45985.0</v>
      </c>
      <c r="N212" s="5"/>
      <c r="O212" s="5"/>
      <c r="P212" s="4">
        <v>4.571360813754E12</v>
      </c>
      <c r="Q212" s="7"/>
      <c r="R212" s="10"/>
      <c r="S212" s="10"/>
      <c r="T212" s="16"/>
      <c r="U212" s="12"/>
      <c r="V212" s="12"/>
      <c r="W212" s="12"/>
    </row>
    <row r="213" ht="14.25" customHeight="1">
      <c r="A213" s="2" t="s">
        <v>166</v>
      </c>
      <c r="B213" s="3" t="s">
        <v>88</v>
      </c>
      <c r="C213" s="4" t="s">
        <v>171</v>
      </c>
      <c r="D213" s="5" t="s">
        <v>172</v>
      </c>
      <c r="E213" s="3">
        <v>3.0</v>
      </c>
      <c r="F213" s="3">
        <v>1764.0</v>
      </c>
      <c r="G213" s="6">
        <f t="shared" si="4"/>
        <v>5292</v>
      </c>
      <c r="H213" s="3" t="s">
        <v>23</v>
      </c>
      <c r="I213" s="5" t="s">
        <v>24</v>
      </c>
      <c r="J213" s="7"/>
      <c r="K213" s="7"/>
      <c r="L213" s="8" t="s">
        <v>167</v>
      </c>
      <c r="M213" s="9">
        <v>46000.0</v>
      </c>
      <c r="N213" s="5"/>
      <c r="O213" s="5"/>
      <c r="P213" s="4">
        <v>4.571360813754E12</v>
      </c>
      <c r="Q213" s="7"/>
      <c r="R213" s="10"/>
      <c r="S213" s="10"/>
      <c r="T213" s="16"/>
      <c r="U213" s="12"/>
      <c r="V213" s="12"/>
      <c r="W213" s="12"/>
    </row>
    <row r="214" ht="14.25" customHeight="1">
      <c r="A214" s="2" t="s">
        <v>166</v>
      </c>
      <c r="B214" s="3" t="s">
        <v>88</v>
      </c>
      <c r="C214" s="4" t="s">
        <v>173</v>
      </c>
      <c r="D214" s="5" t="s">
        <v>174</v>
      </c>
      <c r="E214" s="3">
        <v>4.0</v>
      </c>
      <c r="F214" s="3">
        <v>1798.0</v>
      </c>
      <c r="G214" s="6">
        <f t="shared" si="4"/>
        <v>7192</v>
      </c>
      <c r="H214" s="3" t="s">
        <v>23</v>
      </c>
      <c r="I214" s="5" t="s">
        <v>24</v>
      </c>
      <c r="J214" s="7"/>
      <c r="K214" s="7"/>
      <c r="L214" s="8" t="s">
        <v>167</v>
      </c>
      <c r="M214" s="9">
        <v>46000.0</v>
      </c>
      <c r="N214" s="5"/>
      <c r="O214" s="5"/>
      <c r="P214" s="4">
        <v>4.571360813853E12</v>
      </c>
      <c r="Q214" s="7"/>
      <c r="R214" s="10"/>
      <c r="S214" s="10"/>
      <c r="T214" s="16"/>
      <c r="U214" s="12"/>
      <c r="V214" s="12"/>
      <c r="W214" s="12"/>
    </row>
    <row r="215" ht="14.25" customHeight="1">
      <c r="A215" s="2" t="s">
        <v>166</v>
      </c>
      <c r="B215" s="3" t="s">
        <v>88</v>
      </c>
      <c r="C215" s="4" t="s">
        <v>175</v>
      </c>
      <c r="D215" s="5" t="s">
        <v>176</v>
      </c>
      <c r="E215" s="3">
        <v>5.0</v>
      </c>
      <c r="F215" s="3">
        <v>2117.0</v>
      </c>
      <c r="G215" s="6">
        <f t="shared" si="4"/>
        <v>10585</v>
      </c>
      <c r="H215" s="3" t="s">
        <v>23</v>
      </c>
      <c r="I215" s="5" t="s">
        <v>24</v>
      </c>
      <c r="J215" s="7"/>
      <c r="K215" s="7"/>
      <c r="L215" s="8" t="s">
        <v>177</v>
      </c>
      <c r="M215" s="9">
        <v>46000.0</v>
      </c>
      <c r="N215" s="5"/>
      <c r="O215" s="5" t="s">
        <v>178</v>
      </c>
      <c r="P215" s="4">
        <v>4.571360812375E12</v>
      </c>
      <c r="Q215" s="7"/>
      <c r="R215" s="10">
        <v>10.9</v>
      </c>
      <c r="S215" s="10" t="s">
        <v>120</v>
      </c>
      <c r="T215" s="16"/>
      <c r="U215" s="12"/>
      <c r="V215" s="12"/>
      <c r="W215" s="12"/>
    </row>
    <row r="216" ht="14.25" customHeight="1">
      <c r="A216" s="2" t="s">
        <v>166</v>
      </c>
      <c r="B216" s="3" t="s">
        <v>179</v>
      </c>
      <c r="C216" s="4">
        <v>1255.0</v>
      </c>
      <c r="D216" s="5" t="s">
        <v>180</v>
      </c>
      <c r="E216" s="3">
        <v>2.0</v>
      </c>
      <c r="F216" s="3">
        <v>1644.0</v>
      </c>
      <c r="G216" s="6">
        <f t="shared" si="4"/>
        <v>3288</v>
      </c>
      <c r="H216" s="3" t="s">
        <v>23</v>
      </c>
      <c r="I216" s="5" t="s">
        <v>24</v>
      </c>
      <c r="J216" s="7"/>
      <c r="K216" s="7"/>
      <c r="L216" s="8" t="s">
        <v>177</v>
      </c>
      <c r="M216" s="9">
        <v>46000.0</v>
      </c>
      <c r="N216" s="5"/>
      <c r="O216" s="5"/>
      <c r="P216" s="4">
        <v>4.571324242736E12</v>
      </c>
      <c r="Q216" s="7"/>
      <c r="R216" s="10"/>
      <c r="S216" s="10"/>
      <c r="T216" s="16"/>
      <c r="U216" s="12"/>
      <c r="V216" s="12"/>
      <c r="W216" s="12"/>
    </row>
    <row r="217" ht="14.25" customHeight="1">
      <c r="A217" s="2" t="s">
        <v>166</v>
      </c>
      <c r="B217" s="3" t="s">
        <v>179</v>
      </c>
      <c r="C217" s="4">
        <v>1271.0</v>
      </c>
      <c r="D217" s="5" t="s">
        <v>181</v>
      </c>
      <c r="E217" s="3">
        <v>2.0</v>
      </c>
      <c r="F217" s="3">
        <v>2760.0</v>
      </c>
      <c r="G217" s="6">
        <f t="shared" si="4"/>
        <v>5520</v>
      </c>
      <c r="H217" s="3" t="s">
        <v>23</v>
      </c>
      <c r="I217" s="5" t="s">
        <v>24</v>
      </c>
      <c r="J217" s="7"/>
      <c r="K217" s="7"/>
      <c r="L217" s="8" t="s">
        <v>177</v>
      </c>
      <c r="M217" s="9">
        <v>46000.0</v>
      </c>
      <c r="N217" s="5"/>
      <c r="O217" s="5"/>
      <c r="P217" s="4">
        <v>4.571324243184E12</v>
      </c>
      <c r="Q217" s="7"/>
      <c r="R217" s="10"/>
      <c r="S217" s="10"/>
      <c r="T217" s="16"/>
      <c r="U217" s="12"/>
      <c r="V217" s="12"/>
      <c r="W217" s="12"/>
    </row>
    <row r="218" ht="14.25" customHeight="1">
      <c r="A218" s="2" t="s">
        <v>166</v>
      </c>
      <c r="B218" s="3" t="s">
        <v>179</v>
      </c>
      <c r="C218" s="4">
        <v>1429.0</v>
      </c>
      <c r="D218" s="5" t="s">
        <v>182</v>
      </c>
      <c r="E218" s="3">
        <v>1.0</v>
      </c>
      <c r="F218" s="3">
        <v>1740.0</v>
      </c>
      <c r="G218" s="6">
        <f t="shared" si="4"/>
        <v>1740</v>
      </c>
      <c r="H218" s="3" t="s">
        <v>23</v>
      </c>
      <c r="I218" s="5" t="s">
        <v>24</v>
      </c>
      <c r="J218" s="7"/>
      <c r="K218" s="7"/>
      <c r="L218" s="8" t="s">
        <v>177</v>
      </c>
      <c r="M218" s="9">
        <v>46000.0</v>
      </c>
      <c r="N218" s="5"/>
      <c r="O218" s="5"/>
      <c r="P218" s="4">
        <v>4.571324245799E12</v>
      </c>
      <c r="Q218" s="7"/>
      <c r="R218" s="10"/>
      <c r="S218" s="10"/>
      <c r="T218" s="16"/>
      <c r="U218" s="12"/>
      <c r="V218" s="12"/>
      <c r="W218" s="12"/>
    </row>
    <row r="219" ht="14.25" customHeight="1">
      <c r="A219" s="2" t="s">
        <v>166</v>
      </c>
      <c r="B219" s="3" t="s">
        <v>179</v>
      </c>
      <c r="C219" s="4">
        <v>1272.0</v>
      </c>
      <c r="D219" s="5" t="s">
        <v>183</v>
      </c>
      <c r="E219" s="3">
        <v>2.0</v>
      </c>
      <c r="F219" s="3">
        <v>1440.0</v>
      </c>
      <c r="G219" s="6">
        <f t="shared" si="4"/>
        <v>2880</v>
      </c>
      <c r="H219" s="3" t="s">
        <v>23</v>
      </c>
      <c r="I219" s="5" t="s">
        <v>24</v>
      </c>
      <c r="J219" s="7"/>
      <c r="K219" s="7"/>
      <c r="L219" s="8" t="s">
        <v>177</v>
      </c>
      <c r="M219" s="9">
        <v>46000.0</v>
      </c>
      <c r="N219" s="5"/>
      <c r="O219" s="5"/>
      <c r="P219" s="4">
        <v>4.571324243214E12</v>
      </c>
      <c r="Q219" s="7"/>
      <c r="R219" s="10"/>
      <c r="S219" s="10"/>
      <c r="T219" s="16"/>
      <c r="U219" s="12"/>
      <c r="V219" s="12"/>
      <c r="W219" s="12"/>
    </row>
    <row r="220" ht="14.25" customHeight="1">
      <c r="A220" s="2" t="s">
        <v>166</v>
      </c>
      <c r="B220" s="3" t="s">
        <v>179</v>
      </c>
      <c r="C220" s="4">
        <v>1430.0</v>
      </c>
      <c r="D220" s="5" t="s">
        <v>184</v>
      </c>
      <c r="E220" s="3">
        <v>1.0</v>
      </c>
      <c r="F220" s="3">
        <v>1740.0</v>
      </c>
      <c r="G220" s="6">
        <f t="shared" si="4"/>
        <v>1740</v>
      </c>
      <c r="H220" s="3" t="s">
        <v>23</v>
      </c>
      <c r="I220" s="5" t="s">
        <v>24</v>
      </c>
      <c r="J220" s="7"/>
      <c r="K220" s="7"/>
      <c r="L220" s="8" t="s">
        <v>177</v>
      </c>
      <c r="M220" s="9">
        <v>46000.0</v>
      </c>
      <c r="N220" s="5"/>
      <c r="O220" s="5"/>
      <c r="P220" s="4">
        <v>4.571324245805E12</v>
      </c>
      <c r="Q220" s="7"/>
      <c r="R220" s="10"/>
      <c r="S220" s="10"/>
      <c r="T220" s="16"/>
      <c r="U220" s="12"/>
      <c r="V220" s="12"/>
      <c r="W220" s="12"/>
    </row>
    <row r="221" ht="14.25" customHeight="1">
      <c r="A221" s="2" t="s">
        <v>166</v>
      </c>
      <c r="B221" s="3" t="s">
        <v>179</v>
      </c>
      <c r="C221" s="4">
        <v>1414.0</v>
      </c>
      <c r="D221" s="5" t="s">
        <v>185</v>
      </c>
      <c r="E221" s="3">
        <v>2.0</v>
      </c>
      <c r="F221" s="3">
        <v>2760.0</v>
      </c>
      <c r="G221" s="6">
        <f t="shared" si="4"/>
        <v>5520</v>
      </c>
      <c r="H221" s="3" t="s">
        <v>23</v>
      </c>
      <c r="I221" s="5" t="s">
        <v>24</v>
      </c>
      <c r="J221" s="7"/>
      <c r="K221" s="7"/>
      <c r="L221" s="8" t="s">
        <v>177</v>
      </c>
      <c r="M221" s="9">
        <v>46000.0</v>
      </c>
      <c r="N221" s="5"/>
      <c r="O221" s="5"/>
      <c r="P221" s="4">
        <v>4.571324245638E12</v>
      </c>
      <c r="Q221" s="7"/>
      <c r="R221" s="10"/>
      <c r="S221" s="10"/>
      <c r="T221" s="16"/>
      <c r="U221" s="12"/>
      <c r="V221" s="12"/>
      <c r="W221" s="12"/>
    </row>
    <row r="222" ht="14.25" customHeight="1">
      <c r="A222" s="2" t="s">
        <v>166</v>
      </c>
      <c r="B222" s="3" t="s">
        <v>46</v>
      </c>
      <c r="C222" s="4" t="s">
        <v>186</v>
      </c>
      <c r="D222" s="5" t="s">
        <v>187</v>
      </c>
      <c r="E222" s="3">
        <v>5.0</v>
      </c>
      <c r="F222" s="3">
        <v>1400.0</v>
      </c>
      <c r="G222" s="6">
        <f t="shared" si="4"/>
        <v>7000</v>
      </c>
      <c r="H222" s="3" t="s">
        <v>23</v>
      </c>
      <c r="I222" s="5" t="s">
        <v>24</v>
      </c>
      <c r="J222" s="7"/>
      <c r="K222" s="7"/>
      <c r="L222" s="8" t="s">
        <v>188</v>
      </c>
      <c r="M222" s="9">
        <v>46000.0</v>
      </c>
      <c r="N222" s="5"/>
      <c r="O222" s="5" t="s">
        <v>189</v>
      </c>
      <c r="P222" s="4">
        <v>4.56230951346E12</v>
      </c>
      <c r="Q222" s="7"/>
      <c r="R222" s="10">
        <v>17.9</v>
      </c>
      <c r="S222" s="10" t="s">
        <v>190</v>
      </c>
      <c r="T222" s="16"/>
      <c r="U222" s="12"/>
      <c r="V222" s="12"/>
      <c r="W222" s="12"/>
    </row>
    <row r="223" ht="14.25" customHeight="1">
      <c r="A223" s="2" t="s">
        <v>166</v>
      </c>
      <c r="B223" s="3" t="s">
        <v>46</v>
      </c>
      <c r="C223" s="4" t="s">
        <v>191</v>
      </c>
      <c r="D223" s="5" t="s">
        <v>192</v>
      </c>
      <c r="E223" s="3">
        <v>10.0</v>
      </c>
      <c r="F223" s="3">
        <v>1390.0</v>
      </c>
      <c r="G223" s="6">
        <f t="shared" si="4"/>
        <v>13900</v>
      </c>
      <c r="H223" s="3" t="s">
        <v>23</v>
      </c>
      <c r="I223" s="5" t="s">
        <v>24</v>
      </c>
      <c r="J223" s="7"/>
      <c r="K223" s="7"/>
      <c r="L223" s="8" t="s">
        <v>188</v>
      </c>
      <c r="M223" s="9">
        <v>46000.0</v>
      </c>
      <c r="N223" s="5"/>
      <c r="O223" s="5" t="s">
        <v>193</v>
      </c>
      <c r="P223" s="4">
        <v>4.56230951263E12</v>
      </c>
      <c r="Q223" s="7"/>
      <c r="R223" s="10"/>
      <c r="S223" s="10"/>
      <c r="T223" s="16"/>
      <c r="U223" s="12"/>
      <c r="V223" s="12"/>
      <c r="W223" s="12"/>
    </row>
    <row r="224" ht="14.25" customHeight="1">
      <c r="A224" s="2" t="s">
        <v>166</v>
      </c>
      <c r="B224" s="3" t="s">
        <v>46</v>
      </c>
      <c r="C224" s="4" t="s">
        <v>194</v>
      </c>
      <c r="D224" s="5" t="s">
        <v>195</v>
      </c>
      <c r="E224" s="3">
        <v>5.0</v>
      </c>
      <c r="F224" s="3">
        <v>1390.0</v>
      </c>
      <c r="G224" s="6">
        <f t="shared" si="4"/>
        <v>6950</v>
      </c>
      <c r="H224" s="3" t="s">
        <v>23</v>
      </c>
      <c r="I224" s="5" t="s">
        <v>24</v>
      </c>
      <c r="J224" s="7"/>
      <c r="K224" s="7"/>
      <c r="L224" s="8" t="s">
        <v>188</v>
      </c>
      <c r="M224" s="9">
        <v>46000.0</v>
      </c>
      <c r="N224" s="5"/>
      <c r="O224" s="5" t="s">
        <v>193</v>
      </c>
      <c r="P224" s="4">
        <v>4.562309511398E12</v>
      </c>
      <c r="Q224" s="7"/>
      <c r="R224" s="10"/>
      <c r="S224" s="10"/>
      <c r="T224" s="16"/>
      <c r="U224" s="12"/>
      <c r="V224" s="12"/>
      <c r="W224" s="12"/>
    </row>
    <row r="225" ht="14.25" customHeight="1">
      <c r="A225" s="2" t="s">
        <v>166</v>
      </c>
      <c r="B225" s="3" t="s">
        <v>46</v>
      </c>
      <c r="C225" s="4" t="s">
        <v>196</v>
      </c>
      <c r="D225" s="5" t="s">
        <v>197</v>
      </c>
      <c r="E225" s="3">
        <v>5.0</v>
      </c>
      <c r="F225" s="3">
        <v>1560.0</v>
      </c>
      <c r="G225" s="6">
        <f t="shared" si="4"/>
        <v>7800</v>
      </c>
      <c r="H225" s="3" t="s">
        <v>23</v>
      </c>
      <c r="I225" s="5" t="s">
        <v>24</v>
      </c>
      <c r="J225" s="7"/>
      <c r="K225" s="7"/>
      <c r="L225" s="8" t="s">
        <v>188</v>
      </c>
      <c r="M225" s="9">
        <v>46000.0</v>
      </c>
      <c r="N225" s="5"/>
      <c r="O225" s="5" t="s">
        <v>198</v>
      </c>
      <c r="P225" s="4">
        <v>4.562309511671E12</v>
      </c>
      <c r="Q225" s="7"/>
      <c r="R225" s="10"/>
      <c r="S225" s="10"/>
      <c r="T225" s="16"/>
      <c r="U225" s="12"/>
      <c r="V225" s="12"/>
      <c r="W225" s="12"/>
    </row>
    <row r="226" ht="14.25" customHeight="1">
      <c r="A226" s="2" t="s">
        <v>166</v>
      </c>
      <c r="B226" s="3" t="s">
        <v>46</v>
      </c>
      <c r="C226" s="4" t="s">
        <v>199</v>
      </c>
      <c r="D226" s="5" t="s">
        <v>200</v>
      </c>
      <c r="E226" s="3">
        <v>5.0</v>
      </c>
      <c r="F226" s="3">
        <v>1170.0</v>
      </c>
      <c r="G226" s="6">
        <f t="shared" si="4"/>
        <v>5850</v>
      </c>
      <c r="H226" s="3" t="s">
        <v>23</v>
      </c>
      <c r="I226" s="5" t="s">
        <v>24</v>
      </c>
      <c r="J226" s="7"/>
      <c r="K226" s="7"/>
      <c r="L226" s="8" t="s">
        <v>188</v>
      </c>
      <c r="M226" s="9">
        <v>46000.0</v>
      </c>
      <c r="N226" s="5"/>
      <c r="O226" s="5" t="s">
        <v>201</v>
      </c>
      <c r="P226" s="4">
        <v>4.562309513422E12</v>
      </c>
      <c r="Q226" s="7"/>
      <c r="R226" s="10"/>
      <c r="S226" s="10"/>
      <c r="T226" s="16"/>
      <c r="U226" s="12"/>
      <c r="V226" s="12"/>
      <c r="W226" s="12"/>
    </row>
    <row r="227" ht="14.25" customHeight="1">
      <c r="A227" s="2" t="s">
        <v>166</v>
      </c>
      <c r="B227" s="3" t="s">
        <v>46</v>
      </c>
      <c r="C227" s="4" t="s">
        <v>47</v>
      </c>
      <c r="D227" s="5" t="s">
        <v>48</v>
      </c>
      <c r="E227" s="3">
        <v>3.0</v>
      </c>
      <c r="F227" s="3">
        <v>1400.0</v>
      </c>
      <c r="G227" s="6">
        <f t="shared" si="4"/>
        <v>4200</v>
      </c>
      <c r="H227" s="3" t="s">
        <v>23</v>
      </c>
      <c r="I227" s="5" t="s">
        <v>24</v>
      </c>
      <c r="J227" s="7"/>
      <c r="K227" s="7"/>
      <c r="L227" s="8" t="s">
        <v>188</v>
      </c>
      <c r="M227" s="9">
        <v>46000.0</v>
      </c>
      <c r="N227" s="5"/>
      <c r="O227" s="5"/>
      <c r="P227" s="4">
        <v>4.562309513798E12</v>
      </c>
      <c r="Q227" s="7"/>
      <c r="R227" s="10"/>
      <c r="S227" s="10"/>
      <c r="T227" s="16"/>
      <c r="U227" s="12"/>
      <c r="V227" s="12"/>
      <c r="W227" s="12"/>
    </row>
    <row r="228" ht="14.25" customHeight="1">
      <c r="A228" s="2" t="s">
        <v>166</v>
      </c>
      <c r="B228" s="3" t="s">
        <v>46</v>
      </c>
      <c r="C228" s="4" t="s">
        <v>202</v>
      </c>
      <c r="D228" s="5" t="s">
        <v>203</v>
      </c>
      <c r="E228" s="3">
        <v>3.0</v>
      </c>
      <c r="F228" s="3">
        <v>1150.0</v>
      </c>
      <c r="G228" s="6">
        <f t="shared" si="4"/>
        <v>3450</v>
      </c>
      <c r="H228" s="3" t="s">
        <v>23</v>
      </c>
      <c r="I228" s="5" t="s">
        <v>24</v>
      </c>
      <c r="J228" s="7"/>
      <c r="K228" s="7"/>
      <c r="L228" s="8" t="s">
        <v>188</v>
      </c>
      <c r="M228" s="9">
        <v>46000.0</v>
      </c>
      <c r="N228" s="5"/>
      <c r="O228" s="5" t="s">
        <v>204</v>
      </c>
      <c r="P228" s="4">
        <v>4.562309511367E12</v>
      </c>
      <c r="Q228" s="7"/>
      <c r="R228" s="10"/>
      <c r="S228" s="10"/>
      <c r="T228" s="16"/>
      <c r="U228" s="12"/>
      <c r="V228" s="12"/>
      <c r="W228" s="12"/>
    </row>
    <row r="229" ht="14.25" customHeight="1">
      <c r="A229" s="2" t="s">
        <v>166</v>
      </c>
      <c r="B229" s="3" t="s">
        <v>46</v>
      </c>
      <c r="C229" s="4" t="s">
        <v>205</v>
      </c>
      <c r="D229" s="5" t="s">
        <v>206</v>
      </c>
      <c r="E229" s="3">
        <v>2.0</v>
      </c>
      <c r="F229" s="3">
        <v>1050.0</v>
      </c>
      <c r="G229" s="6">
        <f t="shared" si="4"/>
        <v>2100</v>
      </c>
      <c r="H229" s="3" t="s">
        <v>23</v>
      </c>
      <c r="I229" s="5" t="s">
        <v>24</v>
      </c>
      <c r="J229" s="7"/>
      <c r="K229" s="7"/>
      <c r="L229" s="8" t="s">
        <v>207</v>
      </c>
      <c r="M229" s="9">
        <v>46000.0</v>
      </c>
      <c r="N229" s="5"/>
      <c r="O229" s="5" t="s">
        <v>208</v>
      </c>
      <c r="P229" s="4">
        <v>4.562309511299E12</v>
      </c>
      <c r="Q229" s="7"/>
      <c r="R229" s="10">
        <v>17.8</v>
      </c>
      <c r="S229" s="10" t="s">
        <v>209</v>
      </c>
      <c r="T229" s="16"/>
      <c r="U229" s="12"/>
      <c r="V229" s="12"/>
      <c r="W229" s="12"/>
    </row>
    <row r="230" ht="14.25" customHeight="1">
      <c r="A230" s="2" t="s">
        <v>166</v>
      </c>
      <c r="B230" s="3" t="s">
        <v>46</v>
      </c>
      <c r="C230" s="4" t="s">
        <v>210</v>
      </c>
      <c r="D230" s="5" t="s">
        <v>211</v>
      </c>
      <c r="E230" s="3">
        <v>1.0</v>
      </c>
      <c r="F230" s="3">
        <v>1250.0</v>
      </c>
      <c r="G230" s="6">
        <f t="shared" si="4"/>
        <v>1250</v>
      </c>
      <c r="H230" s="3" t="s">
        <v>23</v>
      </c>
      <c r="I230" s="5" t="s">
        <v>24</v>
      </c>
      <c r="J230" s="7"/>
      <c r="K230" s="7"/>
      <c r="L230" s="8" t="s">
        <v>207</v>
      </c>
      <c r="M230" s="9">
        <v>46000.0</v>
      </c>
      <c r="N230" s="5"/>
      <c r="O230" s="5" t="s">
        <v>212</v>
      </c>
      <c r="P230" s="4">
        <v>4.56230951362E12</v>
      </c>
      <c r="Q230" s="7"/>
      <c r="R230" s="10"/>
      <c r="S230" s="10"/>
      <c r="T230" s="16"/>
      <c r="U230" s="12"/>
      <c r="V230" s="12"/>
      <c r="W230" s="12"/>
    </row>
    <row r="231" ht="14.25" customHeight="1">
      <c r="A231" s="2" t="s">
        <v>166</v>
      </c>
      <c r="B231" s="3" t="s">
        <v>46</v>
      </c>
      <c r="C231" s="4" t="s">
        <v>213</v>
      </c>
      <c r="D231" s="5" t="s">
        <v>214</v>
      </c>
      <c r="E231" s="3">
        <v>2.0</v>
      </c>
      <c r="F231" s="3">
        <v>1400.0</v>
      </c>
      <c r="G231" s="6">
        <f t="shared" si="4"/>
        <v>2800</v>
      </c>
      <c r="H231" s="3" t="s">
        <v>23</v>
      </c>
      <c r="I231" s="5" t="s">
        <v>24</v>
      </c>
      <c r="J231" s="7"/>
      <c r="K231" s="7"/>
      <c r="L231" s="8" t="s">
        <v>207</v>
      </c>
      <c r="M231" s="9">
        <v>46000.0</v>
      </c>
      <c r="N231" s="5"/>
      <c r="O231" s="5" t="s">
        <v>189</v>
      </c>
      <c r="P231" s="4">
        <v>4.562309513606E12</v>
      </c>
      <c r="Q231" s="7"/>
      <c r="R231" s="10"/>
      <c r="S231" s="10"/>
      <c r="T231" s="16"/>
      <c r="U231" s="12"/>
      <c r="V231" s="12"/>
      <c r="W231" s="12"/>
    </row>
    <row r="232" ht="14.25" customHeight="1">
      <c r="A232" s="2" t="s">
        <v>166</v>
      </c>
      <c r="B232" s="3" t="s">
        <v>46</v>
      </c>
      <c r="C232" s="4" t="s">
        <v>215</v>
      </c>
      <c r="D232" s="5" t="s">
        <v>216</v>
      </c>
      <c r="E232" s="3">
        <v>5.0</v>
      </c>
      <c r="F232" s="3">
        <v>610.0</v>
      </c>
      <c r="G232" s="6">
        <f t="shared" si="4"/>
        <v>3050</v>
      </c>
      <c r="H232" s="3" t="s">
        <v>23</v>
      </c>
      <c r="I232" s="5" t="s">
        <v>24</v>
      </c>
      <c r="J232" s="7"/>
      <c r="K232" s="7"/>
      <c r="L232" s="8" t="s">
        <v>207</v>
      </c>
      <c r="M232" s="9">
        <v>46000.0</v>
      </c>
      <c r="N232" s="5"/>
      <c r="O232" s="5" t="s">
        <v>217</v>
      </c>
      <c r="P232" s="4">
        <v>4.562309512722E12</v>
      </c>
      <c r="Q232" s="7"/>
      <c r="R232" s="10"/>
      <c r="S232" s="10"/>
      <c r="T232" s="16"/>
      <c r="U232" s="12"/>
      <c r="V232" s="12"/>
      <c r="W232" s="12"/>
    </row>
    <row r="233" ht="14.25" customHeight="1">
      <c r="A233" s="2" t="s">
        <v>166</v>
      </c>
      <c r="B233" s="3" t="s">
        <v>46</v>
      </c>
      <c r="C233" s="4" t="s">
        <v>218</v>
      </c>
      <c r="D233" s="5" t="s">
        <v>219</v>
      </c>
      <c r="E233" s="3">
        <v>2.0</v>
      </c>
      <c r="F233" s="3">
        <v>1450.0</v>
      </c>
      <c r="G233" s="6">
        <f t="shared" si="4"/>
        <v>2900</v>
      </c>
      <c r="H233" s="3" t="s">
        <v>23</v>
      </c>
      <c r="I233" s="5" t="s">
        <v>24</v>
      </c>
      <c r="J233" s="7"/>
      <c r="K233" s="7"/>
      <c r="L233" s="8" t="s">
        <v>207</v>
      </c>
      <c r="M233" s="9">
        <v>46000.0</v>
      </c>
      <c r="N233" s="5"/>
      <c r="O233" s="5" t="s">
        <v>220</v>
      </c>
      <c r="P233" s="4">
        <v>4.562309512609E12</v>
      </c>
      <c r="Q233" s="7"/>
      <c r="R233" s="10"/>
      <c r="S233" s="10"/>
      <c r="T233" s="16"/>
      <c r="U233" s="12"/>
      <c r="V233" s="12"/>
      <c r="W233" s="12"/>
    </row>
    <row r="234" ht="14.25" customHeight="1">
      <c r="A234" s="2" t="s">
        <v>166</v>
      </c>
      <c r="B234" s="3" t="s">
        <v>46</v>
      </c>
      <c r="C234" s="4" t="s">
        <v>221</v>
      </c>
      <c r="D234" s="5" t="s">
        <v>222</v>
      </c>
      <c r="E234" s="3">
        <v>2.0</v>
      </c>
      <c r="F234" s="3">
        <v>450.0</v>
      </c>
      <c r="G234" s="6">
        <f t="shared" si="4"/>
        <v>900</v>
      </c>
      <c r="H234" s="3" t="s">
        <v>23</v>
      </c>
      <c r="I234" s="5" t="s">
        <v>24</v>
      </c>
      <c r="J234" s="7"/>
      <c r="K234" s="7"/>
      <c r="L234" s="8" t="s">
        <v>207</v>
      </c>
      <c r="M234" s="9">
        <v>46000.0</v>
      </c>
      <c r="N234" s="5"/>
      <c r="O234" s="5" t="s">
        <v>223</v>
      </c>
      <c r="P234" s="4">
        <v>4.562309511619E12</v>
      </c>
      <c r="Q234" s="7"/>
      <c r="R234" s="10"/>
      <c r="S234" s="10"/>
      <c r="T234" s="16"/>
      <c r="U234" s="12"/>
      <c r="V234" s="12"/>
      <c r="W234" s="12"/>
    </row>
    <row r="235" ht="14.25" customHeight="1">
      <c r="A235" s="2" t="s">
        <v>166</v>
      </c>
      <c r="B235" s="3" t="s">
        <v>46</v>
      </c>
      <c r="C235" s="4" t="s">
        <v>224</v>
      </c>
      <c r="D235" s="5" t="s">
        <v>225</v>
      </c>
      <c r="E235" s="3">
        <v>5.0</v>
      </c>
      <c r="F235" s="3">
        <v>450.0</v>
      </c>
      <c r="G235" s="6">
        <f t="shared" si="4"/>
        <v>2250</v>
      </c>
      <c r="H235" s="3" t="s">
        <v>23</v>
      </c>
      <c r="I235" s="5" t="s">
        <v>24</v>
      </c>
      <c r="J235" s="7"/>
      <c r="K235" s="7"/>
      <c r="L235" s="8" t="s">
        <v>207</v>
      </c>
      <c r="M235" s="9">
        <v>46000.0</v>
      </c>
      <c r="N235" s="5"/>
      <c r="O235" s="5" t="s">
        <v>223</v>
      </c>
      <c r="P235" s="4">
        <v>4.562309511633E12</v>
      </c>
      <c r="Q235" s="7"/>
      <c r="R235" s="10"/>
      <c r="S235" s="10"/>
      <c r="T235" s="16"/>
      <c r="U235" s="12"/>
      <c r="V235" s="12"/>
      <c r="W235" s="12"/>
    </row>
    <row r="236" ht="14.25" customHeight="1">
      <c r="A236" s="2" t="s">
        <v>166</v>
      </c>
      <c r="B236" s="3" t="s">
        <v>46</v>
      </c>
      <c r="C236" s="4" t="s">
        <v>226</v>
      </c>
      <c r="D236" s="5" t="s">
        <v>227</v>
      </c>
      <c r="E236" s="3">
        <v>1.0</v>
      </c>
      <c r="F236" s="3">
        <v>1510.0</v>
      </c>
      <c r="G236" s="6">
        <f t="shared" si="4"/>
        <v>1510</v>
      </c>
      <c r="H236" s="3" t="s">
        <v>23</v>
      </c>
      <c r="I236" s="5" t="s">
        <v>24</v>
      </c>
      <c r="J236" s="7"/>
      <c r="K236" s="7"/>
      <c r="L236" s="8" t="s">
        <v>207</v>
      </c>
      <c r="M236" s="9">
        <v>46000.0</v>
      </c>
      <c r="N236" s="5"/>
      <c r="O236" s="5" t="s">
        <v>228</v>
      </c>
      <c r="P236" s="4">
        <v>4.562309512883E12</v>
      </c>
      <c r="Q236" s="7"/>
      <c r="R236" s="10"/>
      <c r="S236" s="10"/>
      <c r="T236" s="16"/>
      <c r="U236" s="12"/>
      <c r="V236" s="12"/>
      <c r="W236" s="12"/>
    </row>
    <row r="237" ht="14.25" customHeight="1">
      <c r="A237" s="2" t="s">
        <v>166</v>
      </c>
      <c r="B237" s="3" t="s">
        <v>46</v>
      </c>
      <c r="C237" s="4" t="s">
        <v>229</v>
      </c>
      <c r="D237" s="5" t="s">
        <v>230</v>
      </c>
      <c r="E237" s="3">
        <v>5.0</v>
      </c>
      <c r="F237" s="3">
        <v>1390.0</v>
      </c>
      <c r="G237" s="6">
        <f t="shared" si="4"/>
        <v>6950</v>
      </c>
      <c r="H237" s="3" t="s">
        <v>23</v>
      </c>
      <c r="I237" s="5" t="s">
        <v>24</v>
      </c>
      <c r="J237" s="7"/>
      <c r="K237" s="7"/>
      <c r="L237" s="8" t="s">
        <v>207</v>
      </c>
      <c r="M237" s="9">
        <v>46000.0</v>
      </c>
      <c r="N237" s="5"/>
      <c r="O237" s="5" t="s">
        <v>193</v>
      </c>
      <c r="P237" s="4">
        <v>4.562309510834E12</v>
      </c>
      <c r="Q237" s="7"/>
      <c r="R237" s="10"/>
      <c r="S237" s="10"/>
      <c r="T237" s="16"/>
      <c r="U237" s="12"/>
      <c r="V237" s="12"/>
      <c r="W237" s="12"/>
    </row>
    <row r="238" ht="14.25" customHeight="1">
      <c r="A238" s="2" t="s">
        <v>166</v>
      </c>
      <c r="B238" s="3" t="s">
        <v>46</v>
      </c>
      <c r="C238" s="4" t="s">
        <v>231</v>
      </c>
      <c r="D238" s="5" t="s">
        <v>232</v>
      </c>
      <c r="E238" s="3">
        <v>7.0</v>
      </c>
      <c r="F238" s="3">
        <v>2290.0</v>
      </c>
      <c r="G238" s="6">
        <f t="shared" si="4"/>
        <v>16030</v>
      </c>
      <c r="H238" s="3" t="s">
        <v>23</v>
      </c>
      <c r="I238" s="5" t="s">
        <v>24</v>
      </c>
      <c r="J238" s="7"/>
      <c r="K238" s="7"/>
      <c r="L238" s="8" t="s">
        <v>207</v>
      </c>
      <c r="M238" s="9">
        <v>46000.0</v>
      </c>
      <c r="N238" s="5"/>
      <c r="O238" s="5" t="s">
        <v>233</v>
      </c>
      <c r="P238" s="4">
        <v>4.562309511817E12</v>
      </c>
      <c r="Q238" s="7"/>
      <c r="R238" s="10"/>
      <c r="S238" s="10"/>
      <c r="T238" s="16"/>
      <c r="U238" s="12"/>
      <c r="V238" s="12"/>
      <c r="W238" s="12"/>
    </row>
    <row r="239" ht="14.25" customHeight="1">
      <c r="A239" s="2" t="s">
        <v>166</v>
      </c>
      <c r="B239" s="3" t="s">
        <v>46</v>
      </c>
      <c r="C239" s="4" t="s">
        <v>234</v>
      </c>
      <c r="D239" s="5" t="s">
        <v>235</v>
      </c>
      <c r="E239" s="3">
        <v>3.0</v>
      </c>
      <c r="F239" s="3">
        <v>1800.0</v>
      </c>
      <c r="G239" s="6">
        <f t="shared" si="4"/>
        <v>5400</v>
      </c>
      <c r="H239" s="3" t="s">
        <v>23</v>
      </c>
      <c r="I239" s="5" t="s">
        <v>24</v>
      </c>
      <c r="J239" s="7"/>
      <c r="K239" s="7"/>
      <c r="L239" s="8" t="s">
        <v>207</v>
      </c>
      <c r="M239" s="9">
        <v>46000.0</v>
      </c>
      <c r="N239" s="5"/>
      <c r="O239" s="5" t="s">
        <v>236</v>
      </c>
      <c r="P239" s="4">
        <v>4.562309513613E12</v>
      </c>
      <c r="Q239" s="7"/>
      <c r="R239" s="10"/>
      <c r="S239" s="10"/>
      <c r="T239" s="16"/>
      <c r="U239" s="12"/>
      <c r="V239" s="12"/>
      <c r="W239" s="12"/>
    </row>
    <row r="240" ht="14.25" customHeight="1">
      <c r="A240" s="2" t="s">
        <v>166</v>
      </c>
      <c r="B240" s="3" t="s">
        <v>46</v>
      </c>
      <c r="C240" s="4" t="s">
        <v>237</v>
      </c>
      <c r="D240" s="5" t="s">
        <v>238</v>
      </c>
      <c r="E240" s="3">
        <v>3.0</v>
      </c>
      <c r="F240" s="3">
        <v>450.0</v>
      </c>
      <c r="G240" s="6">
        <f t="shared" si="4"/>
        <v>1350</v>
      </c>
      <c r="H240" s="3" t="s">
        <v>23</v>
      </c>
      <c r="I240" s="5" t="s">
        <v>24</v>
      </c>
      <c r="J240" s="7"/>
      <c r="K240" s="7"/>
      <c r="L240" s="8" t="s">
        <v>207</v>
      </c>
      <c r="M240" s="9">
        <v>46000.0</v>
      </c>
      <c r="N240" s="5"/>
      <c r="O240" s="5" t="s">
        <v>223</v>
      </c>
      <c r="P240" s="4">
        <v>4.562309511626E12</v>
      </c>
      <c r="Q240" s="7"/>
      <c r="R240" s="10"/>
      <c r="S240" s="10"/>
      <c r="T240" s="16"/>
      <c r="U240" s="12"/>
      <c r="V240" s="12"/>
      <c r="W240" s="12"/>
    </row>
    <row r="241" ht="14.25" customHeight="1">
      <c r="A241" s="2" t="s">
        <v>166</v>
      </c>
      <c r="B241" s="3" t="s">
        <v>40</v>
      </c>
      <c r="C241" s="4" t="s">
        <v>239</v>
      </c>
      <c r="D241" s="5" t="s">
        <v>240</v>
      </c>
      <c r="E241" s="3">
        <v>10.0</v>
      </c>
      <c r="F241" s="3">
        <v>1270.0</v>
      </c>
      <c r="G241" s="6">
        <f t="shared" si="4"/>
        <v>12700</v>
      </c>
      <c r="H241" s="3" t="s">
        <v>23</v>
      </c>
      <c r="I241" s="5" t="s">
        <v>24</v>
      </c>
      <c r="J241" s="7"/>
      <c r="K241" s="7"/>
      <c r="L241" s="8" t="s">
        <v>241</v>
      </c>
      <c r="M241" s="9">
        <v>45973.0</v>
      </c>
      <c r="N241" s="5"/>
      <c r="O241" s="5"/>
      <c r="P241" s="4">
        <v>4.580490000354E12</v>
      </c>
      <c r="Q241" s="7"/>
      <c r="R241" s="10">
        <v>14.3</v>
      </c>
      <c r="S241" s="10" t="s">
        <v>60</v>
      </c>
      <c r="T241" s="16"/>
      <c r="U241" s="12"/>
      <c r="V241" s="12"/>
      <c r="W241" s="12"/>
    </row>
    <row r="242" ht="14.25" customHeight="1">
      <c r="A242" s="2" t="s">
        <v>166</v>
      </c>
      <c r="B242" s="3" t="s">
        <v>40</v>
      </c>
      <c r="C242" s="4" t="s">
        <v>239</v>
      </c>
      <c r="D242" s="5" t="s">
        <v>240</v>
      </c>
      <c r="E242" s="3">
        <v>5.0</v>
      </c>
      <c r="F242" s="3">
        <v>1270.0</v>
      </c>
      <c r="G242" s="6">
        <f t="shared" si="4"/>
        <v>6350</v>
      </c>
      <c r="H242" s="3" t="s">
        <v>23</v>
      </c>
      <c r="I242" s="5" t="s">
        <v>24</v>
      </c>
      <c r="J242" s="7"/>
      <c r="K242" s="7"/>
      <c r="L242" s="8" t="s">
        <v>241</v>
      </c>
      <c r="M242" s="9">
        <v>46000.0</v>
      </c>
      <c r="N242" s="5"/>
      <c r="O242" s="5"/>
      <c r="P242" s="4">
        <v>4.580490000354E12</v>
      </c>
      <c r="Q242" s="7"/>
      <c r="R242" s="10"/>
      <c r="S242" s="10"/>
      <c r="T242" s="16"/>
      <c r="U242" s="12"/>
      <c r="V242" s="12"/>
      <c r="W242" s="12"/>
    </row>
    <row r="243" ht="14.25" customHeight="1">
      <c r="A243" s="2" t="s">
        <v>166</v>
      </c>
      <c r="B243" s="3" t="s">
        <v>40</v>
      </c>
      <c r="C243" s="4" t="s">
        <v>242</v>
      </c>
      <c r="D243" s="5" t="s">
        <v>243</v>
      </c>
      <c r="E243" s="3">
        <v>2.0</v>
      </c>
      <c r="F243" s="3">
        <v>1940.0</v>
      </c>
      <c r="G243" s="6">
        <f t="shared" si="4"/>
        <v>3880</v>
      </c>
      <c r="H243" s="3" t="s">
        <v>23</v>
      </c>
      <c r="I243" s="5" t="s">
        <v>24</v>
      </c>
      <c r="J243" s="7"/>
      <c r="K243" s="7"/>
      <c r="L243" s="8" t="s">
        <v>241</v>
      </c>
      <c r="M243" s="9">
        <v>46000.0</v>
      </c>
      <c r="N243" s="5"/>
      <c r="O243" s="5"/>
      <c r="P243" s="4">
        <v>4.580490000415E12</v>
      </c>
      <c r="Q243" s="7"/>
      <c r="R243" s="10"/>
      <c r="S243" s="10"/>
      <c r="T243" s="16"/>
      <c r="U243" s="12"/>
      <c r="V243" s="12"/>
      <c r="W243" s="12"/>
    </row>
    <row r="244" ht="14.25" customHeight="1">
      <c r="A244" s="2" t="s">
        <v>166</v>
      </c>
      <c r="B244" s="3" t="s">
        <v>244</v>
      </c>
      <c r="C244" s="4" t="s">
        <v>245</v>
      </c>
      <c r="D244" s="5" t="s">
        <v>246</v>
      </c>
      <c r="E244" s="3">
        <v>2.0</v>
      </c>
      <c r="F244" s="3">
        <v>2337.0</v>
      </c>
      <c r="G244" s="6">
        <f t="shared" si="4"/>
        <v>4674</v>
      </c>
      <c r="H244" s="3" t="s">
        <v>23</v>
      </c>
      <c r="I244" s="5" t="s">
        <v>24</v>
      </c>
      <c r="J244" s="7"/>
      <c r="K244" s="7"/>
      <c r="L244" s="8" t="s">
        <v>241</v>
      </c>
      <c r="M244" s="9">
        <v>46000.0</v>
      </c>
      <c r="N244" s="5"/>
      <c r="O244" s="5"/>
      <c r="P244" s="4">
        <v>4.571631312382E12</v>
      </c>
      <c r="Q244" s="7"/>
      <c r="R244" s="10"/>
      <c r="S244" s="10"/>
      <c r="T244" s="16"/>
      <c r="U244" s="12"/>
      <c r="V244" s="12"/>
      <c r="W244" s="12"/>
    </row>
    <row r="245" ht="14.25" customHeight="1">
      <c r="A245" s="2" t="s">
        <v>166</v>
      </c>
      <c r="B245" s="3" t="s">
        <v>88</v>
      </c>
      <c r="C245" s="4" t="s">
        <v>247</v>
      </c>
      <c r="D245" s="5" t="s">
        <v>248</v>
      </c>
      <c r="E245" s="3">
        <v>3.0</v>
      </c>
      <c r="F245" s="3">
        <v>2091.0</v>
      </c>
      <c r="G245" s="6">
        <f t="shared" si="4"/>
        <v>6273</v>
      </c>
      <c r="H245" s="3" t="s">
        <v>23</v>
      </c>
      <c r="I245" s="5" t="s">
        <v>24</v>
      </c>
      <c r="J245" s="7"/>
      <c r="K245" s="7"/>
      <c r="L245" s="8" t="s">
        <v>241</v>
      </c>
      <c r="M245" s="9">
        <v>46000.0</v>
      </c>
      <c r="N245" s="5"/>
      <c r="O245" s="5"/>
      <c r="P245" s="4">
        <v>4.571360814065E12</v>
      </c>
      <c r="Q245" s="7"/>
      <c r="R245" s="10"/>
      <c r="S245" s="10"/>
      <c r="T245" s="16"/>
      <c r="U245" s="12"/>
      <c r="V245" s="12"/>
      <c r="W245" s="12"/>
    </row>
    <row r="246" ht="14.25" customHeight="1">
      <c r="A246" s="2" t="s">
        <v>166</v>
      </c>
      <c r="B246" s="3" t="s">
        <v>61</v>
      </c>
      <c r="C246" s="4" t="s">
        <v>70</v>
      </c>
      <c r="D246" s="5" t="s">
        <v>71</v>
      </c>
      <c r="E246" s="3">
        <v>2.0</v>
      </c>
      <c r="F246" s="3">
        <v>1720.0</v>
      </c>
      <c r="G246" s="6">
        <f t="shared" si="4"/>
        <v>3440</v>
      </c>
      <c r="H246" s="3" t="s">
        <v>23</v>
      </c>
      <c r="I246" s="5" t="s">
        <v>24</v>
      </c>
      <c r="J246" s="7"/>
      <c r="K246" s="7"/>
      <c r="L246" s="8" t="s">
        <v>241</v>
      </c>
      <c r="M246" s="9">
        <v>46000.0</v>
      </c>
      <c r="N246" s="5"/>
      <c r="O246" s="5"/>
      <c r="P246" s="4">
        <v>4.57136081427E12</v>
      </c>
      <c r="Q246" s="7"/>
      <c r="R246" s="10"/>
      <c r="S246" s="10"/>
      <c r="T246" s="16"/>
      <c r="U246" s="12"/>
      <c r="V246" s="12"/>
      <c r="W246" s="12"/>
    </row>
    <row r="247" ht="14.25" customHeight="1">
      <c r="A247" s="2" t="s">
        <v>166</v>
      </c>
      <c r="B247" s="3" t="s">
        <v>179</v>
      </c>
      <c r="C247" s="4">
        <v>1502.0</v>
      </c>
      <c r="D247" s="5" t="s">
        <v>249</v>
      </c>
      <c r="E247" s="3">
        <v>3.0</v>
      </c>
      <c r="F247" s="3">
        <v>432.0</v>
      </c>
      <c r="G247" s="6">
        <f t="shared" si="4"/>
        <v>1296</v>
      </c>
      <c r="H247" s="3" t="s">
        <v>94</v>
      </c>
      <c r="I247" s="5" t="s">
        <v>24</v>
      </c>
      <c r="J247" s="7"/>
      <c r="K247" s="7"/>
      <c r="L247" s="8" t="s">
        <v>241</v>
      </c>
      <c r="M247" s="9">
        <v>46000.0</v>
      </c>
      <c r="N247" s="5"/>
      <c r="O247" s="5"/>
      <c r="P247" s="4">
        <v>4.571324246543E12</v>
      </c>
      <c r="Q247" s="7"/>
      <c r="R247" s="10"/>
      <c r="S247" s="10"/>
      <c r="T247" s="16"/>
      <c r="U247" s="12"/>
      <c r="V247" s="12"/>
      <c r="W247" s="12"/>
    </row>
    <row r="248" ht="14.25" customHeight="1">
      <c r="A248" s="2" t="s">
        <v>250</v>
      </c>
      <c r="B248" s="3" t="s">
        <v>43</v>
      </c>
      <c r="C248" s="4" t="s">
        <v>251</v>
      </c>
      <c r="D248" s="5" t="s">
        <v>252</v>
      </c>
      <c r="E248" s="3">
        <v>20.0</v>
      </c>
      <c r="F248" s="3">
        <v>549.0</v>
      </c>
      <c r="G248" s="6">
        <v>10980.0</v>
      </c>
      <c r="H248" s="3" t="s">
        <v>23</v>
      </c>
      <c r="I248" s="5" t="s">
        <v>24</v>
      </c>
      <c r="J248" s="7"/>
      <c r="K248" s="7"/>
      <c r="L248" s="8" t="s">
        <v>253</v>
      </c>
      <c r="M248" s="9">
        <v>45947.0</v>
      </c>
      <c r="N248" s="5"/>
      <c r="O248" s="5"/>
      <c r="P248" s="4">
        <v>4.562160139458E12</v>
      </c>
      <c r="Q248" s="7"/>
      <c r="R248" s="10">
        <v>24.6</v>
      </c>
      <c r="S248" s="10" t="s">
        <v>133</v>
      </c>
      <c r="T248" s="16"/>
      <c r="U248" s="12"/>
      <c r="V248" s="12"/>
      <c r="W248" s="12"/>
    </row>
    <row r="249" ht="14.25" customHeight="1">
      <c r="A249" s="2" t="s">
        <v>250</v>
      </c>
      <c r="B249" s="3" t="s">
        <v>43</v>
      </c>
      <c r="C249" s="4" t="s">
        <v>78</v>
      </c>
      <c r="D249" s="5" t="s">
        <v>79</v>
      </c>
      <c r="E249" s="3">
        <v>20.0</v>
      </c>
      <c r="F249" s="3">
        <v>549.0</v>
      </c>
      <c r="G249" s="6">
        <v>10980.0</v>
      </c>
      <c r="H249" s="3" t="s">
        <v>23</v>
      </c>
      <c r="I249" s="5" t="s">
        <v>24</v>
      </c>
      <c r="J249" s="7"/>
      <c r="K249" s="7"/>
      <c r="L249" s="8" t="s">
        <v>253</v>
      </c>
      <c r="M249" s="9">
        <v>45974.0</v>
      </c>
      <c r="N249" s="5"/>
      <c r="O249" s="5"/>
      <c r="P249" s="4">
        <v>4.562160139199E12</v>
      </c>
      <c r="Q249" s="7"/>
      <c r="R249" s="10"/>
      <c r="S249" s="10"/>
      <c r="T249" s="16"/>
      <c r="U249" s="12"/>
      <c r="V249" s="12"/>
      <c r="W249" s="12"/>
    </row>
    <row r="250" ht="14.25" customHeight="1">
      <c r="A250" s="2" t="s">
        <v>250</v>
      </c>
      <c r="B250" s="3" t="s">
        <v>43</v>
      </c>
      <c r="C250" s="4" t="s">
        <v>254</v>
      </c>
      <c r="D250" s="5" t="s">
        <v>255</v>
      </c>
      <c r="E250" s="3">
        <v>10.0</v>
      </c>
      <c r="F250" s="3">
        <v>549.0</v>
      </c>
      <c r="G250" s="6">
        <v>5490.0</v>
      </c>
      <c r="H250" s="3" t="s">
        <v>23</v>
      </c>
      <c r="I250" s="5" t="s">
        <v>24</v>
      </c>
      <c r="J250" s="7"/>
      <c r="K250" s="7"/>
      <c r="L250" s="8" t="s">
        <v>253</v>
      </c>
      <c r="M250" s="9">
        <v>45975.0</v>
      </c>
      <c r="N250" s="5"/>
      <c r="O250" s="5"/>
      <c r="P250" s="4">
        <v>4.562160139441E12</v>
      </c>
      <c r="Q250" s="7"/>
      <c r="R250" s="10"/>
      <c r="S250" s="10"/>
      <c r="T250" s="16"/>
      <c r="U250" s="12"/>
      <c r="V250" s="12"/>
      <c r="W250" s="12"/>
    </row>
    <row r="251" ht="14.25" customHeight="1">
      <c r="A251" s="2" t="s">
        <v>250</v>
      </c>
      <c r="B251" s="3" t="s">
        <v>40</v>
      </c>
      <c r="C251" s="4" t="s">
        <v>41</v>
      </c>
      <c r="D251" s="5" t="s">
        <v>42</v>
      </c>
      <c r="E251" s="3">
        <v>10.0</v>
      </c>
      <c r="F251" s="3">
        <v>1400.0</v>
      </c>
      <c r="G251" s="6">
        <f t="shared" ref="G251:G262" si="5">F251*E251</f>
        <v>14000</v>
      </c>
      <c r="H251" s="3" t="s">
        <v>23</v>
      </c>
      <c r="I251" s="5" t="s">
        <v>24</v>
      </c>
      <c r="J251" s="7"/>
      <c r="K251" s="7"/>
      <c r="L251" s="8" t="s">
        <v>253</v>
      </c>
      <c r="M251" s="9">
        <v>45950.0</v>
      </c>
      <c r="N251" s="5"/>
      <c r="O251" s="5"/>
      <c r="P251" s="4">
        <v>4.580490000408E12</v>
      </c>
      <c r="Q251" s="7"/>
      <c r="R251" s="10"/>
      <c r="S251" s="10"/>
      <c r="T251" s="16"/>
      <c r="U251" s="12"/>
      <c r="V251" s="12"/>
      <c r="W251" s="12"/>
    </row>
    <row r="252" ht="14.25" customHeight="1">
      <c r="A252" s="2" t="s">
        <v>250</v>
      </c>
      <c r="B252" s="3" t="s">
        <v>40</v>
      </c>
      <c r="C252" s="4" t="s">
        <v>239</v>
      </c>
      <c r="D252" s="5" t="s">
        <v>240</v>
      </c>
      <c r="E252" s="3">
        <v>86.0</v>
      </c>
      <c r="F252" s="3">
        <v>1270.0</v>
      </c>
      <c r="G252" s="6">
        <f t="shared" si="5"/>
        <v>109220</v>
      </c>
      <c r="H252" s="3" t="s">
        <v>23</v>
      </c>
      <c r="I252" s="5" t="s">
        <v>24</v>
      </c>
      <c r="J252" s="7"/>
      <c r="K252" s="7"/>
      <c r="L252" s="8" t="s">
        <v>256</v>
      </c>
      <c r="M252" s="9">
        <v>45975.0</v>
      </c>
      <c r="N252" s="5"/>
      <c r="O252" s="5"/>
      <c r="P252" s="4">
        <v>4.580490000354E12</v>
      </c>
      <c r="Q252" s="7"/>
      <c r="R252" s="10">
        <v>23.3</v>
      </c>
      <c r="S252" s="10" t="s">
        <v>257</v>
      </c>
      <c r="T252" s="16"/>
      <c r="U252" s="12"/>
      <c r="V252" s="12"/>
      <c r="W252" s="12"/>
    </row>
    <row r="253" ht="14.25" customHeight="1">
      <c r="A253" s="2" t="s">
        <v>250</v>
      </c>
      <c r="B253" s="3" t="s">
        <v>179</v>
      </c>
      <c r="C253" s="4">
        <v>1242.0</v>
      </c>
      <c r="D253" s="5" t="s">
        <v>258</v>
      </c>
      <c r="E253" s="3">
        <v>10.0</v>
      </c>
      <c r="F253" s="3">
        <v>2160.0</v>
      </c>
      <c r="G253" s="6">
        <f t="shared" si="5"/>
        <v>21600</v>
      </c>
      <c r="H253" s="3" t="s">
        <v>23</v>
      </c>
      <c r="I253" s="5" t="s">
        <v>24</v>
      </c>
      <c r="J253" s="7"/>
      <c r="K253" s="7"/>
      <c r="L253" s="8" t="s">
        <v>259</v>
      </c>
      <c r="M253" s="9">
        <v>46000.0</v>
      </c>
      <c r="N253" s="5"/>
      <c r="O253" s="5"/>
      <c r="P253" s="4">
        <v>4.571324242361E12</v>
      </c>
      <c r="Q253" s="7"/>
      <c r="R253" s="10">
        <v>11.9</v>
      </c>
      <c r="S253" s="10" t="s">
        <v>120</v>
      </c>
      <c r="T253" s="16"/>
      <c r="U253" s="12"/>
      <c r="V253" s="12"/>
      <c r="W253" s="12"/>
    </row>
    <row r="254" ht="14.25" customHeight="1">
      <c r="A254" s="2" t="s">
        <v>250</v>
      </c>
      <c r="B254" s="3" t="s">
        <v>260</v>
      </c>
      <c r="C254" s="4" t="s">
        <v>261</v>
      </c>
      <c r="D254" s="5" t="s">
        <v>262</v>
      </c>
      <c r="E254" s="3">
        <v>4.0</v>
      </c>
      <c r="F254" s="3">
        <v>1654.0</v>
      </c>
      <c r="G254" s="6">
        <f t="shared" si="5"/>
        <v>6616</v>
      </c>
      <c r="H254" s="3" t="s">
        <v>23</v>
      </c>
      <c r="I254" s="5" t="s">
        <v>24</v>
      </c>
      <c r="J254" s="7"/>
      <c r="K254" s="7"/>
      <c r="L254" s="8" t="s">
        <v>259</v>
      </c>
      <c r="M254" s="9">
        <v>46000.0</v>
      </c>
      <c r="N254" s="5"/>
      <c r="O254" s="5"/>
      <c r="P254" s="4">
        <v>4.580214776237E12</v>
      </c>
      <c r="Q254" s="7"/>
      <c r="R254" s="10"/>
      <c r="S254" s="10"/>
      <c r="T254" s="16"/>
      <c r="U254" s="12"/>
      <c r="V254" s="12"/>
      <c r="W254" s="12"/>
    </row>
    <row r="255" ht="14.25" customHeight="1">
      <c r="A255" s="2" t="s">
        <v>250</v>
      </c>
      <c r="B255" s="3" t="s">
        <v>40</v>
      </c>
      <c r="C255" s="4" t="s">
        <v>239</v>
      </c>
      <c r="D255" s="5" t="s">
        <v>240</v>
      </c>
      <c r="E255" s="3">
        <v>14.0</v>
      </c>
      <c r="F255" s="3">
        <v>1270.0</v>
      </c>
      <c r="G255" s="6">
        <f t="shared" si="5"/>
        <v>17780</v>
      </c>
      <c r="H255" s="3" t="s">
        <v>23</v>
      </c>
      <c r="I255" s="5" t="s">
        <v>24</v>
      </c>
      <c r="J255" s="7"/>
      <c r="K255" s="7"/>
      <c r="L255" s="8" t="s">
        <v>263</v>
      </c>
      <c r="M255" s="9">
        <v>45975.0</v>
      </c>
      <c r="N255" s="5"/>
      <c r="O255" s="5"/>
      <c r="P255" s="4">
        <v>4.580490000354E12</v>
      </c>
      <c r="Q255" s="7"/>
      <c r="R255" s="10">
        <v>11.2</v>
      </c>
      <c r="S255" s="10" t="s">
        <v>60</v>
      </c>
      <c r="T255" s="16"/>
      <c r="U255" s="12"/>
      <c r="V255" s="12"/>
      <c r="W255" s="12"/>
    </row>
    <row r="256" ht="14.25" customHeight="1">
      <c r="A256" s="2" t="s">
        <v>250</v>
      </c>
      <c r="B256" s="3" t="s">
        <v>260</v>
      </c>
      <c r="C256" s="4" t="s">
        <v>261</v>
      </c>
      <c r="D256" s="5" t="s">
        <v>262</v>
      </c>
      <c r="E256" s="3">
        <v>6.0</v>
      </c>
      <c r="F256" s="3">
        <v>1654.0</v>
      </c>
      <c r="G256" s="6">
        <f t="shared" si="5"/>
        <v>9924</v>
      </c>
      <c r="H256" s="3" t="s">
        <v>23</v>
      </c>
      <c r="I256" s="5" t="s">
        <v>24</v>
      </c>
      <c r="J256" s="7"/>
      <c r="K256" s="7"/>
      <c r="L256" s="8" t="s">
        <v>263</v>
      </c>
      <c r="M256" s="9">
        <v>46000.0</v>
      </c>
      <c r="N256" s="5"/>
      <c r="O256" s="5"/>
      <c r="P256" s="4">
        <v>4.580214776237E12</v>
      </c>
      <c r="Q256" s="7"/>
      <c r="R256" s="10"/>
      <c r="S256" s="10"/>
      <c r="T256" s="16"/>
      <c r="U256" s="12"/>
      <c r="V256" s="12"/>
      <c r="W256" s="12"/>
    </row>
    <row r="257" ht="14.25" customHeight="1">
      <c r="A257" s="2" t="s">
        <v>250</v>
      </c>
      <c r="B257" s="3" t="s">
        <v>264</v>
      </c>
      <c r="C257" s="4" t="s">
        <v>265</v>
      </c>
      <c r="D257" s="5" t="s">
        <v>266</v>
      </c>
      <c r="E257" s="3">
        <v>10.0</v>
      </c>
      <c r="F257" s="3">
        <v>420.0</v>
      </c>
      <c r="G257" s="6">
        <f t="shared" si="5"/>
        <v>4200</v>
      </c>
      <c r="H257" s="3" t="s">
        <v>94</v>
      </c>
      <c r="I257" s="5" t="s">
        <v>24</v>
      </c>
      <c r="J257" s="7"/>
      <c r="K257" s="7"/>
      <c r="L257" s="8" t="s">
        <v>267</v>
      </c>
      <c r="M257" s="9">
        <v>46000.0</v>
      </c>
      <c r="N257" s="5"/>
      <c r="O257" s="5" t="s">
        <v>268</v>
      </c>
      <c r="P257" s="4">
        <v>4.582593587947E12</v>
      </c>
      <c r="Q257" s="7"/>
      <c r="R257" s="10">
        <v>13.1</v>
      </c>
      <c r="S257" s="10" t="s">
        <v>269</v>
      </c>
      <c r="T257" s="16"/>
      <c r="U257" s="12"/>
      <c r="V257" s="12"/>
      <c r="W257" s="12"/>
    </row>
    <row r="258" ht="14.25" customHeight="1">
      <c r="A258" s="2" t="s">
        <v>250</v>
      </c>
      <c r="B258" s="3" t="s">
        <v>264</v>
      </c>
      <c r="C258" s="4" t="s">
        <v>270</v>
      </c>
      <c r="D258" s="5" t="s">
        <v>271</v>
      </c>
      <c r="E258" s="3">
        <v>50.0</v>
      </c>
      <c r="F258" s="3">
        <v>320.0</v>
      </c>
      <c r="G258" s="6">
        <f t="shared" si="5"/>
        <v>16000</v>
      </c>
      <c r="H258" s="3" t="s">
        <v>94</v>
      </c>
      <c r="I258" s="5" t="s">
        <v>24</v>
      </c>
      <c r="J258" s="7"/>
      <c r="K258" s="7"/>
      <c r="L258" s="8" t="s">
        <v>267</v>
      </c>
      <c r="M258" s="9">
        <v>46000.0</v>
      </c>
      <c r="N258" s="5"/>
      <c r="O258" s="5" t="s">
        <v>272</v>
      </c>
      <c r="P258" s="4">
        <v>4.580279019591E12</v>
      </c>
      <c r="Q258" s="7"/>
      <c r="R258" s="10"/>
      <c r="S258" s="10"/>
      <c r="T258" s="16"/>
      <c r="U258" s="12"/>
      <c r="V258" s="12"/>
      <c r="W258" s="12"/>
    </row>
    <row r="259" ht="14.25" customHeight="1">
      <c r="A259" s="2" t="s">
        <v>273</v>
      </c>
      <c r="B259" s="3" t="s">
        <v>43</v>
      </c>
      <c r="C259" s="4" t="s">
        <v>137</v>
      </c>
      <c r="D259" s="5" t="s">
        <v>138</v>
      </c>
      <c r="E259" s="3">
        <v>2.0</v>
      </c>
      <c r="F259" s="3">
        <v>3308.0</v>
      </c>
      <c r="G259" s="6">
        <f t="shared" si="5"/>
        <v>6616</v>
      </c>
      <c r="H259" s="3" t="s">
        <v>23</v>
      </c>
      <c r="I259" s="5" t="s">
        <v>24</v>
      </c>
      <c r="J259" s="7"/>
      <c r="K259" s="7"/>
      <c r="L259" s="8" t="s">
        <v>274</v>
      </c>
      <c r="M259" s="9">
        <v>45986.0</v>
      </c>
      <c r="N259" s="5"/>
      <c r="O259" s="5"/>
      <c r="P259" s="4">
        <v>4.562160137348E12</v>
      </c>
      <c r="Q259" s="7"/>
      <c r="R259" s="10">
        <v>13.9</v>
      </c>
      <c r="S259" s="10" t="s">
        <v>275</v>
      </c>
      <c r="T259" s="16"/>
      <c r="U259" s="12"/>
      <c r="V259" s="12"/>
      <c r="W259" s="12"/>
    </row>
    <row r="260" ht="14.25" customHeight="1">
      <c r="A260" s="2" t="s">
        <v>273</v>
      </c>
      <c r="B260" s="3" t="s">
        <v>43</v>
      </c>
      <c r="C260" s="4" t="s">
        <v>52</v>
      </c>
      <c r="D260" s="5" t="s">
        <v>53</v>
      </c>
      <c r="E260" s="3">
        <v>3.0</v>
      </c>
      <c r="F260" s="3">
        <v>3308.0</v>
      </c>
      <c r="G260" s="6">
        <f t="shared" si="5"/>
        <v>9924</v>
      </c>
      <c r="H260" s="3" t="s">
        <v>23</v>
      </c>
      <c r="I260" s="5" t="s">
        <v>24</v>
      </c>
      <c r="J260" s="7"/>
      <c r="K260" s="7"/>
      <c r="L260" s="8" t="s">
        <v>274</v>
      </c>
      <c r="M260" s="9">
        <v>45986.0</v>
      </c>
      <c r="N260" s="5"/>
      <c r="O260" s="5"/>
      <c r="P260" s="4">
        <v>4.562160134101E12</v>
      </c>
      <c r="Q260" s="7"/>
      <c r="R260" s="10"/>
      <c r="S260" s="10"/>
      <c r="T260" s="16"/>
      <c r="U260" s="12"/>
      <c r="V260" s="12"/>
      <c r="W260" s="12"/>
    </row>
    <row r="261" ht="14.25" customHeight="1">
      <c r="A261" s="2" t="s">
        <v>273</v>
      </c>
      <c r="B261" s="3" t="s">
        <v>43</v>
      </c>
      <c r="C261" s="4" t="s">
        <v>44</v>
      </c>
      <c r="D261" s="5" t="s">
        <v>45</v>
      </c>
      <c r="E261" s="3">
        <v>4.0</v>
      </c>
      <c r="F261" s="3">
        <v>3308.0</v>
      </c>
      <c r="G261" s="6">
        <f t="shared" si="5"/>
        <v>13232</v>
      </c>
      <c r="H261" s="3" t="s">
        <v>23</v>
      </c>
      <c r="I261" s="5" t="s">
        <v>24</v>
      </c>
      <c r="J261" s="7"/>
      <c r="K261" s="7"/>
      <c r="L261" s="8" t="s">
        <v>274</v>
      </c>
      <c r="M261" s="9">
        <v>45986.0</v>
      </c>
      <c r="N261" s="5"/>
      <c r="O261" s="5"/>
      <c r="P261" s="4">
        <v>4.562160134415E12</v>
      </c>
      <c r="Q261" s="7"/>
      <c r="R261" s="10"/>
      <c r="S261" s="10"/>
      <c r="T261" s="16"/>
      <c r="U261" s="12"/>
      <c r="V261" s="12"/>
      <c r="W261" s="12"/>
    </row>
    <row r="262" ht="14.25" customHeight="1">
      <c r="A262" s="2" t="s">
        <v>273</v>
      </c>
      <c r="B262" s="3" t="s">
        <v>43</v>
      </c>
      <c r="C262" s="4" t="s">
        <v>169</v>
      </c>
      <c r="D262" s="5" t="s">
        <v>170</v>
      </c>
      <c r="E262" s="3">
        <v>2.0</v>
      </c>
      <c r="F262" s="3">
        <v>3308.0</v>
      </c>
      <c r="G262" s="6">
        <f t="shared" si="5"/>
        <v>6616</v>
      </c>
      <c r="H262" s="3" t="s">
        <v>23</v>
      </c>
      <c r="I262" s="5" t="s">
        <v>24</v>
      </c>
      <c r="J262" s="7"/>
      <c r="K262" s="7"/>
      <c r="L262" s="8" t="s">
        <v>274</v>
      </c>
      <c r="M262" s="9">
        <v>45986.0</v>
      </c>
      <c r="N262" s="5"/>
      <c r="O262" s="5"/>
      <c r="P262" s="4">
        <v>4.562160135139E12</v>
      </c>
      <c r="Q262" s="7"/>
      <c r="R262" s="10"/>
      <c r="S262" s="10"/>
      <c r="T262" s="16"/>
      <c r="U262" s="12"/>
      <c r="V262" s="12"/>
      <c r="W262" s="12"/>
    </row>
    <row r="263" ht="14.25" customHeight="1">
      <c r="A263" s="16"/>
      <c r="B263" s="16"/>
      <c r="C263" s="16"/>
      <c r="D263" s="16"/>
      <c r="E263" s="19">
        <f>SUM(E148:E262)</f>
        <v>895</v>
      </c>
      <c r="F263" s="20"/>
      <c r="G263" s="21">
        <f>SUM(G148:G262)</f>
        <v>1173374</v>
      </c>
      <c r="H263" s="16"/>
      <c r="I263" s="16"/>
      <c r="L263" s="16"/>
      <c r="M263" s="22"/>
      <c r="N263" s="16" t="s">
        <v>557</v>
      </c>
      <c r="O263" s="16"/>
      <c r="P263" s="16"/>
      <c r="R263" s="16"/>
      <c r="S263" s="16"/>
      <c r="T263" s="16"/>
      <c r="U263" s="16"/>
      <c r="V263" s="16"/>
      <c r="W263" s="16"/>
    </row>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2023-06-22T05:26:00Z</dcterms:created>
  <dc:creator>HST-RICKY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2052-11.1.0.9021</vt:lpwstr>
  </property>
</Properties>
</file>