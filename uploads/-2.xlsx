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n6bTFh79gQHda5RzctLaYlDBDT3TEEtNqrGbBpRJrI="/>
    </ext>
  </extLst>
</workbook>
</file>

<file path=xl/sharedStrings.xml><?xml version="1.0" encoding="utf-8"?>
<sst xmlns="http://schemas.openxmlformats.org/spreadsheetml/2006/main" count="1794" uniqueCount="618">
  <si>
    <t>品番</t>
  </si>
  <si>
    <t>TITLE</t>
  </si>
  <si>
    <t>Pcs</t>
  </si>
  <si>
    <t>Price</t>
  </si>
  <si>
    <t>Total</t>
  </si>
  <si>
    <t>下訂日</t>
  </si>
  <si>
    <t>Maker</t>
  </si>
  <si>
    <t>香港AOT-AK</t>
  </si>
  <si>
    <t>WDKG-934</t>
  </si>
  <si>
    <t>360 FETISH 潮SPLASH CORONA SOFT</t>
  </si>
  <si>
    <t>WORLD</t>
  </si>
  <si>
    <t>WDKG-933</t>
  </si>
  <si>
    <t>360 FETISH 潮SPLASH GLANS SOFT</t>
  </si>
  <si>
    <t>香港AOT-N</t>
  </si>
  <si>
    <t>WAC-L042</t>
  </si>
  <si>
    <t>日本のローション　森沢かな　180ml</t>
  </si>
  <si>
    <t>WILD ONE</t>
  </si>
  <si>
    <t>C/NO.58</t>
  </si>
  <si>
    <t>LOTION</t>
  </si>
  <si>
    <t>WAC-L039</t>
  </si>
  <si>
    <t>日本のローション　蘭華　180ml</t>
  </si>
  <si>
    <t>WAC-L038</t>
  </si>
  <si>
    <t>日本のローション　新村あかり　180ml</t>
  </si>
  <si>
    <t>WAC-L013</t>
  </si>
  <si>
    <t>日本のローション　小花のん　180ml</t>
  </si>
  <si>
    <t>WAC-L012</t>
  </si>
  <si>
    <t>日本のローション　水川スミレ　180ml</t>
  </si>
  <si>
    <t>WAC-H088</t>
  </si>
  <si>
    <t>C/NO.57</t>
  </si>
  <si>
    <t>ADULT TOY</t>
  </si>
  <si>
    <t>NIHON NO MEIKI WAC-H088</t>
  </si>
  <si>
    <t>WAC-H065</t>
  </si>
  <si>
    <t>日本の名器　田中ねね</t>
  </si>
  <si>
    <t>NIHON NO MEIKI TANAKA</t>
  </si>
  <si>
    <t>香港AOT-A</t>
  </si>
  <si>
    <t>USDM-140</t>
  </si>
  <si>
    <t>幼馴染と朝までゆるふわお家ックス</t>
  </si>
  <si>
    <t>キテルキテル</t>
  </si>
  <si>
    <t>C/NO.35</t>
  </si>
  <si>
    <t>HOLE USDM-140</t>
  </si>
  <si>
    <t>67*40*41</t>
  </si>
  <si>
    <t>C/NO.43</t>
  </si>
  <si>
    <t>香港AOT-D</t>
  </si>
  <si>
    <t>C/NO.51</t>
  </si>
  <si>
    <t>香港AOT-M</t>
  </si>
  <si>
    <t>C/NO.68</t>
  </si>
  <si>
    <t>48*40*31</t>
  </si>
  <si>
    <t>C/NO.69</t>
  </si>
  <si>
    <t>香港AOT-Y</t>
  </si>
  <si>
    <t>USDM-117</t>
  </si>
  <si>
    <t>半熟サキュ妹まじかる☆バキューム２　ウルトラヒダ漣撃・超ハードタイプ</t>
  </si>
  <si>
    <t>C/NO.60</t>
  </si>
  <si>
    <t>HANJYUKU SACUIMOTO VACUUM 2</t>
  </si>
  <si>
    <t>USDM-116</t>
  </si>
  <si>
    <t>【FANZA独占販売】ポンコツガーディアンユニバース ユニコーンプレミアム肉厚ファビュラス</t>
  </si>
  <si>
    <t>C/NO.29</t>
  </si>
  <si>
    <t>Ponkotsu Plemium</t>
  </si>
  <si>
    <t>C/NO.30</t>
  </si>
  <si>
    <t>USDM-106</t>
  </si>
  <si>
    <t>半熟サキュバスブラック2ヴァイパー 激〆超ハードバキュームタイプ USDM-106</t>
  </si>
  <si>
    <t>C/NO.48</t>
  </si>
  <si>
    <t>Hanjyuku Sacuvas 2 Vaiper</t>
  </si>
  <si>
    <t>UPPP-288</t>
  </si>
  <si>
    <t>REALITY 対魔忍きらら</t>
  </si>
  <si>
    <t>2025.7調漲2392→2592</t>
  </si>
  <si>
    <t>ハトプラ(PPP)</t>
  </si>
  <si>
    <t>C/NO.21</t>
  </si>
  <si>
    <t>REALITY Taimanin Kirara</t>
  </si>
  <si>
    <t>C/NO.24</t>
  </si>
  <si>
    <t>UPPP-107</t>
  </si>
  <si>
    <t>PPP 対魔忍　井河アサギ　未成熟の美女ホール</t>
  </si>
  <si>
    <t>10/23連絡分補填（内部通道偏向）</t>
  </si>
  <si>
    <t>2025.7調漲2100→2280</t>
  </si>
  <si>
    <t>Taimanin Miseijyuku</t>
  </si>
  <si>
    <t>UHTP-202</t>
  </si>
  <si>
    <t>新ぷにあなSPDX</t>
  </si>
  <si>
    <t>ハトプラ</t>
  </si>
  <si>
    <t>SHIN PUNIANA SPDX</t>
  </si>
  <si>
    <t>C/NO.40</t>
  </si>
  <si>
    <t>C/NO.41</t>
  </si>
  <si>
    <t>C/NO.42</t>
  </si>
  <si>
    <t>UHTP-182</t>
  </si>
  <si>
    <t>けもろーしょん　激しい夜に＿淫乱エキス配合　オスモフェリン・イランイランの香り</t>
  </si>
  <si>
    <t>C/NO.28</t>
  </si>
  <si>
    <t>KEMOLOTION 048</t>
  </si>
  <si>
    <t>UHTP-146</t>
  </si>
  <si>
    <t>JAPANESE REAL HOLE LOVE 伊藤舞雪</t>
  </si>
  <si>
    <t>JAPANESE REAL HOLE LOVE ITO</t>
  </si>
  <si>
    <t>59*41*32</t>
  </si>
  <si>
    <t>UHTP-047</t>
  </si>
  <si>
    <t>けもろーしょん　温め合う＿とろけ合う＿温感成分配合　柑橘の香り</t>
  </si>
  <si>
    <t>KEMOLOTION 047</t>
  </si>
  <si>
    <t>UHTP-046</t>
  </si>
  <si>
    <t>けもろーしょん　お風呂あがりに＿コラーゲン配合　シャボンの香り</t>
  </si>
  <si>
    <t>KEMOLOTION 046</t>
  </si>
  <si>
    <t>UHTP-045</t>
  </si>
  <si>
    <t>けもろーしょん　いつもの夜に＿こってり濃厚な無香料タイプ</t>
  </si>
  <si>
    <t>KEMOLOTION 045</t>
  </si>
  <si>
    <t>42*35*25</t>
  </si>
  <si>
    <t>UHTP-018</t>
  </si>
  <si>
    <t>ZARA GYUGYU</t>
  </si>
  <si>
    <t>UGPR-305</t>
  </si>
  <si>
    <t>みたらし　TITUDANSOU　網</t>
  </si>
  <si>
    <t>C/NO.22</t>
  </si>
  <si>
    <t>MITARASHI TITUDANSOU</t>
  </si>
  <si>
    <t>香港AOT-AX</t>
  </si>
  <si>
    <t>UGPR-243</t>
  </si>
  <si>
    <t>HON-MONO MKⅡ</t>
  </si>
  <si>
    <t>2025.5～調漲 2392→2680</t>
  </si>
  <si>
    <t>ハトプラ(GPRO)</t>
  </si>
  <si>
    <t>C/NO.62</t>
  </si>
  <si>
    <t>C/NO.63</t>
  </si>
  <si>
    <t>48*38*41</t>
  </si>
  <si>
    <t>UGPR-222</t>
  </si>
  <si>
    <t>G PROJECT X PEPEE BOTTLE LOTION HOT</t>
  </si>
  <si>
    <t>2025.7調漲670→680</t>
  </si>
  <si>
    <t>C/NO.61</t>
  </si>
  <si>
    <t>55*41*27</t>
  </si>
  <si>
    <t>UGPR-061</t>
  </si>
  <si>
    <t>Chu！［チュッ！］1</t>
  </si>
  <si>
    <t>2025.5～調漲 250→270</t>
  </si>
  <si>
    <t>ハトプラ(HATOPLA)</t>
  </si>
  <si>
    <t>Chu！1</t>
  </si>
  <si>
    <t>UGPR-011</t>
  </si>
  <si>
    <t>PUNIVIRGIN[ぷにばーじん]1000 ふわとろ</t>
  </si>
  <si>
    <t>2025.5～調漲 3840→4330</t>
  </si>
  <si>
    <t>ハトプラ(EXE)</t>
  </si>
  <si>
    <t>C/NO.33</t>
  </si>
  <si>
    <t>PUNIVIRGIN 1000 Fuwatoro</t>
  </si>
  <si>
    <t>UGAN-232</t>
  </si>
  <si>
    <t>ぷにあなSPDX ソフト</t>
  </si>
  <si>
    <t>2025.7調漲13750→14700</t>
  </si>
  <si>
    <t>PUNIANA SPDX SOFT</t>
  </si>
  <si>
    <t>UGAN-219</t>
  </si>
  <si>
    <t>ぷにあなミラクル爆乳DX</t>
  </si>
  <si>
    <t>2025.7調漲32950→34980</t>
  </si>
  <si>
    <t>C/NO.23</t>
  </si>
  <si>
    <t>Puniana Miracle Bakunyu DX</t>
  </si>
  <si>
    <t>66*53*45</t>
  </si>
  <si>
    <t>UGAN-172</t>
  </si>
  <si>
    <t>JAPANESE REAL HOLE 淫 筧ジュン</t>
  </si>
  <si>
    <t>2025.7調漲1240→1320</t>
  </si>
  <si>
    <t>TOYR-031</t>
  </si>
  <si>
    <t>とろグニュ二層イボ狐（ＦＢ０２７）</t>
  </si>
  <si>
    <t>FANTASTICBABY</t>
  </si>
  <si>
    <t>TOROGUNYU　NISOUIBOKITSUNE</t>
  </si>
  <si>
    <t>TOYR-024</t>
  </si>
  <si>
    <t>揉みシゴけ！マングコーン（ＦＢ０２０）</t>
  </si>
  <si>
    <t>Rub it! Mang Cone</t>
  </si>
  <si>
    <t>TOY-9901832</t>
  </si>
  <si>
    <t>3プレス NTR美尻妻 黒川すみれ
(とりぷるぷれす ねとられびじりづま くろかわすみれ)</t>
  </si>
  <si>
    <t>AO</t>
  </si>
  <si>
    <t>C/NO.55</t>
  </si>
  <si>
    <t>NTR BIJIRITSUMA</t>
  </si>
  <si>
    <t>TOY-9901772</t>
  </si>
  <si>
    <t>喉ボコイラマ 蛇舌フェラ 佐伯由美香</t>
  </si>
  <si>
    <t>Dazetsu Fela</t>
  </si>
  <si>
    <t>TOY-9901754</t>
  </si>
  <si>
    <t>黒ギャルの絶頂フェラ天国</t>
  </si>
  <si>
    <t>KuroGal no Zeccho</t>
  </si>
  <si>
    <t>TOY-0901055</t>
  </si>
  <si>
    <t>香織の大好きな体位DX from OVAみだれうち 限定版</t>
  </si>
  <si>
    <t>ルネGIFT</t>
  </si>
  <si>
    <t>KAORINOSDAISUKINA TAI DX LIMITED VER.</t>
  </si>
  <si>
    <t>TMT-1864</t>
  </si>
  <si>
    <t>巨乳チチガの匂い</t>
  </si>
  <si>
    <t>TMT</t>
  </si>
  <si>
    <t>C/NO.13</t>
  </si>
  <si>
    <t>TMT HOLE TMT-1864</t>
  </si>
  <si>
    <t>TMT-1857</t>
  </si>
  <si>
    <t>三芳の愛液ローション　オタク友達とのセックスは最高に気持ちいい</t>
  </si>
  <si>
    <t>C/NO.25</t>
  </si>
  <si>
    <t>TMT LOTION TMT-1857</t>
  </si>
  <si>
    <t>TMT-1816</t>
  </si>
  <si>
    <t>Vanishing Reality THE HOLE</t>
  </si>
  <si>
    <t>C/NO.64</t>
  </si>
  <si>
    <t>TMT-1753</t>
  </si>
  <si>
    <t>爆乳パーティーNTR THE HOLE アリカ</t>
  </si>
  <si>
    <t>C/NO.27</t>
  </si>
  <si>
    <t>TMT HOLE TMT-1753</t>
  </si>
  <si>
    <t>TMT-1592</t>
  </si>
  <si>
    <t>千鶴ちゃん開発日記 ～強気な優等生をオナホ扱い～</t>
  </si>
  <si>
    <t>Chiduru chan Kaihatsu</t>
  </si>
  <si>
    <t>TMT-1448</t>
  </si>
  <si>
    <t>女子校生の脱ぎたてシミパンツの匂い</t>
  </si>
  <si>
    <t>TMT Smell 1448</t>
  </si>
  <si>
    <t>TMT-1436</t>
  </si>
  <si>
    <t xml:space="preserve">発情したメスの匂い　</t>
  </si>
  <si>
    <t>Hatsujyousita meth no Nioi</t>
  </si>
  <si>
    <t>TMPR-058</t>
  </si>
  <si>
    <t>お嬢様の淫穴クロスファイア</t>
  </si>
  <si>
    <t>C/NO.66</t>
  </si>
  <si>
    <t>OJYOSAMA CROSS FIRE</t>
  </si>
  <si>
    <t>TMPR-044</t>
  </si>
  <si>
    <t>お兄ちゃん大好きな妹の極上ロ●名器</t>
  </si>
  <si>
    <t>Onichan daisuki imoto</t>
  </si>
  <si>
    <t>TMPR-031</t>
  </si>
  <si>
    <t>濡れ透け制服美少女となりゆき性交</t>
  </si>
  <si>
    <t>Nuresuke Bishoujyo</t>
  </si>
  <si>
    <t>TMPR-012</t>
  </si>
  <si>
    <t>憧れの先輩の天才的な杭打ちピストン騎乗位</t>
  </si>
  <si>
    <t>senpai no piston Kijyoi</t>
  </si>
  <si>
    <t>TAMS-1419</t>
  </si>
  <si>
    <t>デカ乳オナホ 種沢ななみ 数量限定</t>
  </si>
  <si>
    <t>停産</t>
  </si>
  <si>
    <t>TAMS-1418</t>
  </si>
  <si>
    <t>デカ乳オナホ 種沢まもり　数量限定版</t>
  </si>
  <si>
    <t>TAMS-1156</t>
  </si>
  <si>
    <t>おっぱいボードカバー＃73　どぅーゆーうぉんとぅー</t>
  </si>
  <si>
    <t xml:space="preserve">OPPAI BORD Cover </t>
  </si>
  <si>
    <t>TAMS-1026</t>
  </si>
  <si>
    <t>プルルンおっぱいニプルファック</t>
  </si>
  <si>
    <t>ONGA-015</t>
  </si>
  <si>
    <t>ＯＮＡ砲　ＭＥＧＡ　ＢＵＲＳＴ</t>
  </si>
  <si>
    <t>おながん</t>
  </si>
  <si>
    <t>Ona hou MEGA BURST</t>
  </si>
  <si>
    <t>ONAN-072</t>
  </si>
  <si>
    <t>生放送後の女子アナのストッキングのつま先の内側の香り（ＭＩＵ０４８８）</t>
  </si>
  <si>
    <t>072LABO 的商品若在海外運送過程中發生揮發，將不列入補償或補件的範圍內，請在下單前務必確認清楚，謝謝！</t>
  </si>
  <si>
    <t>072LABO</t>
  </si>
  <si>
    <t>C/NO.15</t>
  </si>
  <si>
    <t>072 fragrance 0488</t>
  </si>
  <si>
    <t>ONAN-070</t>
  </si>
  <si>
    <t>授業後のスク水Ｊ○の股間部分の内側の香り（ＭＩＵ０４８６）</t>
  </si>
  <si>
    <t>072 fragrance 0486</t>
  </si>
  <si>
    <t>ONAN-069</t>
  </si>
  <si>
    <t>家出中の地雷系女子のスカートの内側の香り（ＭＩＵ０４８５）</t>
  </si>
  <si>
    <t>072 fragrance 0485</t>
  </si>
  <si>
    <t>ONAN-033</t>
  </si>
  <si>
    <t>072Fragrance　新人ちゃんの二日酔いの朝イチ口臭</t>
  </si>
  <si>
    <t>072 fragrance ONAN-033</t>
  </si>
  <si>
    <t>ONAN-032</t>
  </si>
  <si>
    <t>072Fragrance　通学女子のムレた足の匂い</t>
  </si>
  <si>
    <t>072 fragrance ONAN-032</t>
  </si>
  <si>
    <t>ONAN-012</t>
  </si>
  <si>
    <t>人妻黒タイツのつま先の香り（ＭＩＵ０３４９）</t>
  </si>
  <si>
    <t>C/NO.38</t>
  </si>
  <si>
    <t>Hitoduma Black tights</t>
  </si>
  <si>
    <t>40*33*20</t>
  </si>
  <si>
    <t>ONAN-011</t>
  </si>
  <si>
    <t>ＯＬ黒タイツの足指の香り（ＭＩＵ０３４８）</t>
  </si>
  <si>
    <t>OL Black tights</t>
  </si>
  <si>
    <t>OH-3537</t>
  </si>
  <si>
    <t>AVミニ名器 石川澪</t>
  </si>
  <si>
    <t>NPG</t>
  </si>
  <si>
    <t>C/NO.56</t>
  </si>
  <si>
    <t>AV MINIMEIKI ISHIKAWA</t>
  </si>
  <si>
    <t>OH-3460</t>
  </si>
  <si>
    <t>極嬢フェラ ディープスロート 橋本ありな</t>
  </si>
  <si>
    <t>Gokujyofera</t>
  </si>
  <si>
    <t>OH-3449</t>
  </si>
  <si>
    <t>名器覚醒 神木麗</t>
  </si>
  <si>
    <t>C/NO.19</t>
  </si>
  <si>
    <t>MEIKI KAKUSEI KAMIKI</t>
  </si>
  <si>
    <t>C/NO.53</t>
  </si>
  <si>
    <t>OH-3406</t>
  </si>
  <si>
    <t>名器覚醒 新井リマ</t>
  </si>
  <si>
    <t>Meiki kakusei Arai</t>
  </si>
  <si>
    <t>OH-3404</t>
  </si>
  <si>
    <t>あこがれの美少女ブルマ 回想編</t>
  </si>
  <si>
    <t>Akogare no Bisyojo Kaiso</t>
  </si>
  <si>
    <t>69*43*36</t>
  </si>
  <si>
    <t>OH-3403</t>
  </si>
  <si>
    <t>あこがれの美少女ブルマ 現役編</t>
  </si>
  <si>
    <t>Akogare no Bisyojo Geneki</t>
  </si>
  <si>
    <t>64*41*47</t>
  </si>
  <si>
    <t>OH-3402</t>
  </si>
  <si>
    <t>あこがれの美少女ブルマ 競技編</t>
  </si>
  <si>
    <t>Akogare no Bisyojo Kyogi</t>
  </si>
  <si>
    <t>OH-3363</t>
  </si>
  <si>
    <t>18禁フェラ お口でちゅくします3</t>
  </si>
  <si>
    <t>18KINFELA OKUCHIDECHUKUSIMASU 3</t>
  </si>
  <si>
    <t>OH-3357</t>
  </si>
  <si>
    <t>新 熟女の星 橘メアリーの秘部完全レプリカ</t>
  </si>
  <si>
    <t>Shin Jyokujo no hoshi Tachibana</t>
  </si>
  <si>
    <t>OH-3333</t>
  </si>
  <si>
    <t>名器の証明ファイル No.014 小宵こなん</t>
  </si>
  <si>
    <t>C/NO.32</t>
  </si>
  <si>
    <t>MEIKI NO SYOMEI NO.014</t>
  </si>
  <si>
    <t>OH-3324</t>
  </si>
  <si>
    <t>名器覚醒 弥生みづき</t>
  </si>
  <si>
    <t>Meiki Kakusei Mizuki Yayoi</t>
  </si>
  <si>
    <t>OH-3267</t>
  </si>
  <si>
    <t>ぎゅん締め 極上 超 やわまん　神木 麗</t>
  </si>
  <si>
    <t>C/NO.18</t>
  </si>
  <si>
    <t>GYUNJIME KAMIKI</t>
  </si>
  <si>
    <t>C/NO.46</t>
  </si>
  <si>
    <t>OH-3156</t>
  </si>
  <si>
    <t>新・名器の証明 ファイルNo.004 藤森里穂</t>
  </si>
  <si>
    <r>
      <rPr>
        <rFont val="Meiryo"/>
        <color rgb="FFFF0000"/>
        <sz val="11.0"/>
      </rPr>
      <t>10/13聯絡分補填(没有海報/</t>
    </r>
    <r>
      <rPr>
        <rFont val="Microsoft YaHei"/>
        <color rgb="FFFF0000"/>
        <sz val="11.0"/>
      </rPr>
      <t>润滑液）</t>
    </r>
  </si>
  <si>
    <t>C/NO.17</t>
  </si>
  <si>
    <t>MEIKI NO SYOMEI NO.004</t>
  </si>
  <si>
    <t>C/NO.54</t>
  </si>
  <si>
    <t>66*36*26</t>
  </si>
  <si>
    <t>OH-3119</t>
  </si>
  <si>
    <t>名器の証明 改 ReNO.001 水卜さくら</t>
  </si>
  <si>
    <t>MEIKI NO SYOMEI NO.Re 001</t>
  </si>
  <si>
    <t>OH-3099</t>
  </si>
  <si>
    <t>AVミニ名器 田中ねね</t>
  </si>
  <si>
    <t>C/NO.36</t>
  </si>
  <si>
    <t>AV MINI MEIKI TANAKA NENE</t>
  </si>
  <si>
    <t>OH-3096</t>
  </si>
  <si>
    <t>新・名器の証明 ファイルNo.003 葵つかさ</t>
  </si>
  <si>
    <t>NEW MEIKI NO SYOMEI NO.003</t>
  </si>
  <si>
    <t>OH-3095</t>
  </si>
  <si>
    <t>新・名器の証明 ファイルNo.002 美谷朱里</t>
  </si>
  <si>
    <t>NEW MEIKI NO SYOMEI NO.002</t>
  </si>
  <si>
    <t>OH-3074</t>
  </si>
  <si>
    <t>素人リアル みあちゃん</t>
  </si>
  <si>
    <t>SHIROTO REAL MIA</t>
  </si>
  <si>
    <t>OH-3073</t>
  </si>
  <si>
    <t>素人リアル 堀北ちゃん</t>
  </si>
  <si>
    <t>SHIROTO REAL HORIKITA</t>
  </si>
  <si>
    <t>OH-3072</t>
  </si>
  <si>
    <t>素人リアル みつちゃん</t>
  </si>
  <si>
    <t>OH-3039</t>
  </si>
  <si>
    <t>名器覚醒 北野未奈</t>
  </si>
  <si>
    <t>Meiki Kakusei Kitano</t>
  </si>
  <si>
    <t>65*40*47</t>
  </si>
  <si>
    <t>OH-3037</t>
  </si>
  <si>
    <t>AVミニ名器 水卜さくら</t>
  </si>
  <si>
    <t>AV MINI MEIKI Sakura</t>
  </si>
  <si>
    <t>41*36*24</t>
  </si>
  <si>
    <t>2024.06～漲價</t>
  </si>
  <si>
    <t>2024.06～漲價507→549</t>
  </si>
  <si>
    <t>OH-3036</t>
  </si>
  <si>
    <t>AVミニ名器 北野未奈</t>
  </si>
  <si>
    <t>AV MINI MEIKI Mina</t>
  </si>
  <si>
    <t>64*38*29</t>
  </si>
  <si>
    <t>OH-2977</t>
  </si>
  <si>
    <t>まる剥がしリアル 八乃つばさ</t>
  </si>
  <si>
    <t>Maruhagashi Real Tsubasa</t>
  </si>
  <si>
    <t>OH-2915</t>
  </si>
  <si>
    <t>18禁フェラ お口でちゅくします</t>
  </si>
  <si>
    <t>18KINFELA OKUCHIDECHUKUSIMASU</t>
  </si>
  <si>
    <t>61*41*41</t>
  </si>
  <si>
    <t>OH-2914</t>
  </si>
  <si>
    <t>素人リアル つきちゃん</t>
  </si>
  <si>
    <t>Amateur  TSUKI-chan</t>
  </si>
  <si>
    <t>OH-2913</t>
  </si>
  <si>
    <t>素人リアル まこちゃん</t>
  </si>
  <si>
    <t>OH-2811</t>
  </si>
  <si>
    <t>名器覚醒 深田えいみ</t>
  </si>
  <si>
    <t>Meikikakusei Fukada</t>
  </si>
  <si>
    <t>OH-2734</t>
  </si>
  <si>
    <t>名器の証明 零 ファイルNo.ZERO 相沢みなみ</t>
  </si>
  <si>
    <t>C/NO.31</t>
  </si>
  <si>
    <t>MEIKI NO SYOMEI NO.Zero Aizawa</t>
  </si>
  <si>
    <t>OH-2725</t>
  </si>
  <si>
    <t>萌えあがる誘惑若妻 完熟名器物語</t>
  </si>
  <si>
    <t>Moeagaru Yuwaku Wakazuma</t>
  </si>
  <si>
    <t>香港AOT-E</t>
  </si>
  <si>
    <t>OH-2407</t>
  </si>
  <si>
    <t>名器創生 里美ゆりあのきんちゃく編</t>
  </si>
  <si>
    <t>C/NO.52</t>
  </si>
  <si>
    <t>MEIKISOUSEI SATOMI YURIA</t>
  </si>
  <si>
    <t>OH-2293</t>
  </si>
  <si>
    <t>名器の証明ファイル No.011 高橋しょう子</t>
  </si>
  <si>
    <t>MEIKI NO SYOMEI NO.011</t>
  </si>
  <si>
    <t>OH-2251</t>
  </si>
  <si>
    <t>激フェラ 超絶ベロテク 浜崎真緒</t>
  </si>
  <si>
    <t>Geki fela Hamazaki</t>
  </si>
  <si>
    <t>OH-2120</t>
  </si>
  <si>
    <t>まるごと まおまん 100% リアル 浜崎真緒</t>
  </si>
  <si>
    <t>Marugoto Maoman</t>
  </si>
  <si>
    <t>OH-1917</t>
  </si>
  <si>
    <t>激フェラ バキューム AIKA</t>
  </si>
  <si>
    <t>Gekifera Vacuum AIKA</t>
  </si>
  <si>
    <t>OH-1817</t>
  </si>
  <si>
    <t>名器の再現!まるごとAIKA</t>
  </si>
  <si>
    <t>OH-1411</t>
  </si>
  <si>
    <t>アリス極上名器シリーズ001 葵つかさの局部精密レプリカ 最終連続絶頂アクメ</t>
  </si>
  <si>
    <t>C/NO.34</t>
  </si>
  <si>
    <t>Alice Gokujomeiki Aoi</t>
  </si>
  <si>
    <t>58*31*43</t>
  </si>
  <si>
    <t>OH-1079</t>
  </si>
  <si>
    <t>名器の証明ファイルNo.009 水咲ローラ</t>
  </si>
  <si>
    <t>C/NO.16</t>
  </si>
  <si>
    <t>MEIKI NO SYOMEI NO.009</t>
  </si>
  <si>
    <t>OH-1026</t>
  </si>
  <si>
    <t>熟女の星 風間ゆみの陰部完全レプリカ</t>
  </si>
  <si>
    <t>Jyukujyo no hoshi Kazama</t>
  </si>
  <si>
    <t>OH-0862</t>
  </si>
  <si>
    <t>名器の証明ファイルNo.006　顔如憶</t>
  </si>
  <si>
    <t>20251112確認M倉只要20　所以配到A倉</t>
  </si>
  <si>
    <t>MEIKI NO SYOMEI NO.006</t>
  </si>
  <si>
    <t>C/NO.26</t>
  </si>
  <si>
    <t>C/NO.45</t>
  </si>
  <si>
    <t>58*33*27</t>
  </si>
  <si>
    <t>11月分/每月固定</t>
  </si>
  <si>
    <t>C/NO.65</t>
  </si>
  <si>
    <t>OH-0808</t>
  </si>
  <si>
    <t>名器の証明 No.005 張篠雨 花顔柳腰</t>
  </si>
  <si>
    <t>C/NO.20</t>
  </si>
  <si>
    <t>MEIKI NO SYOMEI NO.005</t>
  </si>
  <si>
    <t>C/NO.44</t>
  </si>
  <si>
    <t>54*38*39</t>
  </si>
  <si>
    <t>LT-1932</t>
  </si>
  <si>
    <t>橋本ありなのよだれローション 80ml</t>
  </si>
  <si>
    <t>HASHIMOTO NO YODARE LOTION 80ml</t>
  </si>
  <si>
    <t>LT-1931</t>
  </si>
  <si>
    <t>深田えいみのよだれローション 80ml</t>
  </si>
  <si>
    <t>FUKADA NO YODARE LOTION 80ml</t>
  </si>
  <si>
    <t>LT-1903</t>
  </si>
  <si>
    <t>おちゅくしべろべろの唾液ローション 80ml</t>
  </si>
  <si>
    <t>OCHUKUSIMASU BEROBERO LOTION</t>
  </si>
  <si>
    <t>LT-1902</t>
  </si>
  <si>
    <t>おちゅくしいもうとの唾液ローション 80ml</t>
  </si>
  <si>
    <t>LT-1880</t>
  </si>
  <si>
    <t>淫乱美人妻発情汁 JULIA 80ml</t>
  </si>
  <si>
    <t>LT-1880 80ml</t>
  </si>
  <si>
    <t>LT-1851</t>
  </si>
  <si>
    <t>神木麗の極上淫液ローション 80ml</t>
  </si>
  <si>
    <t>KAMIKI　INEKILOTION</t>
  </si>
  <si>
    <t>LT-1812</t>
  </si>
  <si>
    <t xml:space="preserve">神木 麗のAV名器汁ローション 80ml </t>
  </si>
  <si>
    <t>Mini Meiki Kamiki</t>
  </si>
  <si>
    <t>LT-1804</t>
  </si>
  <si>
    <t>水卜さくらの愛液ローション 改 80ml</t>
  </si>
  <si>
    <t>MIURA AIEKI KAI 80ml</t>
  </si>
  <si>
    <t>LT-1749</t>
  </si>
  <si>
    <t>濃厚擬似精液ローション 八乃つばさ 150ml</t>
  </si>
  <si>
    <t>GIJISEIEKI LOTION 150ml</t>
  </si>
  <si>
    <t>LT-1748</t>
  </si>
  <si>
    <t>濃厚擬似精液ローション 松本いちか 150ml</t>
  </si>
  <si>
    <t>LT-1738</t>
  </si>
  <si>
    <t>神宮寺ナオの淫臭愛液ローション 80ml</t>
  </si>
  <si>
    <t>INSYUAIEKI LOTION 80ml</t>
  </si>
  <si>
    <t>LT-1737</t>
  </si>
  <si>
    <t>愛弓りょうの淫臭愛液ローション 80ml</t>
  </si>
  <si>
    <t>LT-1656</t>
  </si>
  <si>
    <t>イク直前の素人臭い付きうぶ汁 つきちゃん 80ml</t>
  </si>
  <si>
    <t>Amateur Lotion HASUMI-chan</t>
  </si>
  <si>
    <t>48*42*34</t>
  </si>
  <si>
    <t>LT-1655</t>
  </si>
  <si>
    <t>イク直前の素人臭い付きうぶ汁 まこちゃん 80ml</t>
  </si>
  <si>
    <t>Amateur Lotion MAKO-chan</t>
  </si>
  <si>
    <t>LT-1646</t>
  </si>
  <si>
    <t>市川京子の熟女の香りが匂う愛液ローション 80ml</t>
  </si>
  <si>
    <t>JYUKUJYO NO NIOI ICHIKAWA</t>
  </si>
  <si>
    <t>LT-1543</t>
  </si>
  <si>
    <t>美人メイド ご奉仕汁 深田えいみ 80ml</t>
  </si>
  <si>
    <t>BeautifulMade Fukada Eimi</t>
  </si>
  <si>
    <t>LT-1336</t>
  </si>
  <si>
    <t>高橋しょう子の愛液ローション 80ml</t>
  </si>
  <si>
    <t>Takahashi Shouko Aieki</t>
  </si>
  <si>
    <t>LT-0950</t>
  </si>
  <si>
    <t>沖田杏梨淫臭ローション 200ml</t>
  </si>
  <si>
    <t>LT-0691</t>
  </si>
  <si>
    <t>風間ゆみの淫臭愛液ローション 200ml</t>
  </si>
  <si>
    <t>Jyukujyo no hoshi Kazama Lotion</t>
  </si>
  <si>
    <t>C/NO.59</t>
  </si>
  <si>
    <t>40*29*19</t>
  </si>
  <si>
    <t>Ligre-0327</t>
  </si>
  <si>
    <t>グランスロック</t>
  </si>
  <si>
    <t>LIGRE</t>
  </si>
  <si>
    <t>GLANCE LOCK</t>
  </si>
  <si>
    <t>Ligre-0309</t>
  </si>
  <si>
    <t>アップサイドグランス2　ラピッドミッション</t>
  </si>
  <si>
    <t>LIGRE HOLE Ligre-0309</t>
  </si>
  <si>
    <t>C/NO.39</t>
  </si>
  <si>
    <t>KIY161</t>
  </si>
  <si>
    <t>20HAND</t>
  </si>
  <si>
    <t>PT</t>
  </si>
  <si>
    <t>hop6</t>
  </si>
  <si>
    <t>オナホ屋さんのだ液汁300ml</t>
  </si>
  <si>
    <t>HP</t>
  </si>
  <si>
    <t>Onaho shop Lotion Daeki 300</t>
  </si>
  <si>
    <t>hop190</t>
  </si>
  <si>
    <t>The Wonderful Hazard of Od.胡夢</t>
  </si>
  <si>
    <t>C/NO.14</t>
  </si>
  <si>
    <t>The Wonderful Hazard of Od.</t>
  </si>
  <si>
    <t>H0212</t>
  </si>
  <si>
    <t>ポロンコロン</t>
  </si>
  <si>
    <t>RJ</t>
  </si>
  <si>
    <t>PoronCoron</t>
  </si>
  <si>
    <t>C/NO.67</t>
  </si>
  <si>
    <t>H0210</t>
  </si>
  <si>
    <t>天下一穴 いちごミルクの舞</t>
  </si>
  <si>
    <t>C/NO.47</t>
  </si>
  <si>
    <t>Softest StrawberryMilk</t>
  </si>
  <si>
    <t>H0209</t>
  </si>
  <si>
    <t>ふわぬる性感ダブルスティンガー</t>
  </si>
  <si>
    <t>SoftDoubleStinger</t>
  </si>
  <si>
    <t>H0208</t>
  </si>
  <si>
    <t>QUEENS</t>
  </si>
  <si>
    <t>H0201</t>
  </si>
  <si>
    <t>ふわっ娘もきゅん</t>
  </si>
  <si>
    <t>2025.06調漲 1260→1310</t>
  </si>
  <si>
    <t>Squishy Marsh</t>
  </si>
  <si>
    <t>H0185</t>
  </si>
  <si>
    <t>地雷系女子パンキーメッシュ</t>
  </si>
  <si>
    <t>2025.06調漲 1120→1170</t>
  </si>
  <si>
    <t>PankyMesh</t>
  </si>
  <si>
    <t>H0183</t>
  </si>
  <si>
    <t>ロリつぼスパイクRUSH</t>
  </si>
  <si>
    <t>2025.06調漲 1350→1400</t>
  </si>
  <si>
    <t>ErogenousZoneSpikeRush</t>
  </si>
  <si>
    <t>H0171</t>
  </si>
  <si>
    <t>くのいち淫靡テーション</t>
  </si>
  <si>
    <t>2025.06調漲 1300→1350</t>
  </si>
  <si>
    <t>FemaleNinjaSexyInvitation</t>
  </si>
  <si>
    <t>H0167</t>
  </si>
  <si>
    <t>ふわにゅるバニー</t>
  </si>
  <si>
    <t>2025.06調漲 1600→1650</t>
  </si>
  <si>
    <t>FluffyTwo-toneBunny</t>
  </si>
  <si>
    <t>H0163</t>
  </si>
  <si>
    <t>肉壁カリブレイド</t>
  </si>
  <si>
    <t>2025.06調漲 560→610</t>
  </si>
  <si>
    <t>FleshwallGlansBlade</t>
  </si>
  <si>
    <t>H0149</t>
  </si>
  <si>
    <t>悪魔快楽カオスターン</t>
  </si>
  <si>
    <t>2025.06調漲 1340→1390</t>
  </si>
  <si>
    <t>ChaosTurn</t>
  </si>
  <si>
    <t>H0122</t>
  </si>
  <si>
    <t>バリカタエンドレスプッシュ</t>
  </si>
  <si>
    <t>2025.06調漲 1460→1510</t>
  </si>
  <si>
    <t>EndlessPushHard</t>
  </si>
  <si>
    <t>47*43*43</t>
  </si>
  <si>
    <t>H0116</t>
  </si>
  <si>
    <t>ぬるぬる昇天リップルズ</t>
  </si>
  <si>
    <t>2025.06調漲 400→450</t>
  </si>
  <si>
    <t>MeatWallRipple</t>
  </si>
  <si>
    <t>GODS608</t>
  </si>
  <si>
    <t>KMPプレミアムホールEX　有坂深雪</t>
  </si>
  <si>
    <t>KMP</t>
  </si>
  <si>
    <t>kmp PREMIUM HOLE EX Arisaka</t>
  </si>
  <si>
    <t>COLP-033</t>
  </si>
  <si>
    <t>おにいさんといっしょ　はじめてのはつたいけん（ＣＯＯＬＰ３３）</t>
  </si>
  <si>
    <t>COOLP</t>
  </si>
  <si>
    <t>HOLE COLP-033</t>
  </si>
  <si>
    <t>C/NO.37</t>
  </si>
  <si>
    <t>67*40*25</t>
  </si>
  <si>
    <t>COLP-007</t>
  </si>
  <si>
    <t>オタ街ック淫国オフパコ性活秋葉原（ＣＯＯＬＰ７）</t>
  </si>
  <si>
    <t>Otamachikku Off pakoseikatsu</t>
  </si>
  <si>
    <t>COLP-002</t>
  </si>
  <si>
    <t>ダークエルフの姫様は異文化交流（生）に精力的！</t>
  </si>
  <si>
    <t>DarkElf no Ohimesama</t>
  </si>
  <si>
    <t>AVCG-027</t>
  </si>
  <si>
    <t xml:space="preserve">菊門淫乱波状メス穴化　赤貝菊悶淫覚capsule </t>
  </si>
  <si>
    <t>AVS Collector's</t>
  </si>
  <si>
    <t>AVCG-021</t>
  </si>
  <si>
    <t>中イキ名器昇天　赤貝タコ壺クリーム</t>
  </si>
  <si>
    <t xml:space="preserve">Akagai Takotsubo </t>
  </si>
  <si>
    <t>AVCG-017</t>
  </si>
  <si>
    <t>メス穴転遷高粘度持続タイプ　赤貝菊門悶絶ジェル</t>
  </si>
  <si>
    <t>AKAGAI KIKUMON MONZETSU</t>
  </si>
  <si>
    <t>ACJN-104</t>
  </si>
  <si>
    <t>【キメチク】チクニー＆チクパコ専用　乳首ガンギマリクリーム</t>
  </si>
  <si>
    <t>アリスJAPAN</t>
  </si>
  <si>
    <t>CHIKUBI GANGIMARI</t>
  </si>
  <si>
    <t>温泉欲情３(Lusty Hot Spring 3)</t>
  </si>
  <si>
    <t>CT=28</t>
  </si>
  <si>
    <t>TH</t>
  </si>
  <si>
    <t>Lusty Hot Spring 3</t>
  </si>
  <si>
    <t>即堕ち先輩～つよつよ先輩と、わからせ中出しピストン～</t>
  </si>
  <si>
    <t>SOKUOCHI SENPAI</t>
  </si>
  <si>
    <t>フェラペロ 初々しい彼女 イタズラロリポップのおクチ(Kanojo Smiley Pop Candy)</t>
  </si>
  <si>
    <t>Kanojo Smiley Pop Candy</t>
  </si>
  <si>
    <t>現役JD　清楚系スパイラル</t>
  </si>
  <si>
    <t>CT＝32</t>
  </si>
  <si>
    <t>処女くぱぁ</t>
  </si>
  <si>
    <t>おなつゆ(onatsuyu)370ml</t>
  </si>
  <si>
    <t>Onatsuyu 370ml</t>
  </si>
  <si>
    <t>あほすたさん印の母乳ローション(Fake mother's milk Lubricant)</t>
  </si>
  <si>
    <t>Fake mother's milk Lubricant</t>
  </si>
  <si>
    <t>42*34*53</t>
  </si>
  <si>
    <t>真実の口　&lt;極上口マン主義&gt;　甘噛SOFT</t>
  </si>
  <si>
    <t>ME</t>
  </si>
  <si>
    <t>C/NO.50</t>
  </si>
  <si>
    <t>SHINJITSU NO KUCHI AMAGAMI SOFT</t>
  </si>
  <si>
    <t>真実の口　&lt;極上口マン主義&gt;　甘噛HARD</t>
  </si>
  <si>
    <t>SHINJITSU NO KUCHI AMAGAMI HARD</t>
  </si>
  <si>
    <t>ぐるっとねじれる やみつきスクイーズ</t>
  </si>
  <si>
    <t>Glutto Screw Yamitsuki Squeeze</t>
  </si>
  <si>
    <t>38*34*33</t>
  </si>
  <si>
    <t>いぼ密フィーバー やみつきスクイーズ</t>
  </si>
  <si>
    <t>Warts Fever Yamiki Squeeze</t>
  </si>
  <si>
    <t>つぶヒダとろける やみつきスクイーズ</t>
  </si>
  <si>
    <t>Tsubuhida Trokeru Yamituki Squeeze</t>
  </si>
  <si>
    <t>アクメハック　ふにふにソフト</t>
  </si>
  <si>
    <t>AKUMEHACK FUNIFUNI</t>
  </si>
  <si>
    <t>アクマさまの反転タテひだ五重奏</t>
  </si>
  <si>
    <t>AKUMASAMA</t>
  </si>
  <si>
    <t>67*36*48</t>
  </si>
  <si>
    <t>疑似ちつ ツブびら淫スパイラル　すけすけ</t>
  </si>
  <si>
    <t>GIJICHITSU SUKESUKE</t>
  </si>
  <si>
    <t>ろりんこ創世記ナマイキHARD</t>
  </si>
  <si>
    <t>Lolinko Souseiki  Hard</t>
  </si>
  <si>
    <t>極上すじまんくぱぁ ろあ</t>
  </si>
  <si>
    <t>Superb Sujiman Kupa Rohr</t>
  </si>
  <si>
    <t>極彩ウテルス MoonShot ムーンショット</t>
  </si>
  <si>
    <t>Kyokusai Uterus Moon Shot</t>
  </si>
  <si>
    <t>すじまん くぱぁ ろりんこ 処女宮～バルゴ～PREMIUM SOFT</t>
  </si>
  <si>
    <t>Sujiman Kupa Lolinko Virgo Soft</t>
  </si>
  <si>
    <t>真実の口おちょぼ口　mini</t>
  </si>
  <si>
    <t>Shinjitsu no Kuchi Ochoboguchi</t>
  </si>
  <si>
    <t>【純潔注意】すじまんくぱぁ ろりんこ もっちりソフト</t>
  </si>
  <si>
    <t>Sujiman Kupa Lolinko Soft</t>
  </si>
  <si>
    <t>【純潔注意】すじまんくぱぁ ろりんこ 処女宮～バルゴ～</t>
  </si>
  <si>
    <t>C/NO.49</t>
  </si>
  <si>
    <t>Sujiman Kupa Lolinko Virgo</t>
  </si>
  <si>
    <t>67*36*25</t>
  </si>
  <si>
    <t>柔らかい本気汁 360ml</t>
  </si>
  <si>
    <t>Honkijiru　Soft</t>
  </si>
  <si>
    <t>【純潔注意】すじまんくぱぁ ろりんこ</t>
  </si>
  <si>
    <t>Sujiman Kupa Lolinko</t>
  </si>
  <si>
    <t>すじまん くぱぁ ココロ</t>
  </si>
  <si>
    <t>Sujiman Kupa Kokoro</t>
  </si>
  <si>
    <t>オナシー　MONSTER 覚醒</t>
  </si>
  <si>
    <t>Onashee Monster Kakusei</t>
  </si>
  <si>
    <t>オナシー　MONSTER G</t>
  </si>
  <si>
    <t>Onashi Monster G</t>
  </si>
  <si>
    <t>オナシー　ユカのひみつの地帯　クリクリタイプ</t>
  </si>
  <si>
    <t>Onashi Yuka</t>
  </si>
  <si>
    <t>オナシー　マキの蠢き　ミミズ　超ミミズタイプ</t>
  </si>
  <si>
    <t>Onashi Maki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</si>
</sst>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年&quot;m&quot;月&quot;d&quot;日&quot;"/>
    <numFmt numFmtId="165" formatCode="#,##0_);[Red]\(#,##0\)"/>
    <numFmt numFmtId="166" formatCode="0_);[Red]\(0\)"/>
  </numFmts>
  <fonts count="7">
    <font>
      <sz val="11.0"/>
      <color theme="1"/>
      <name val="Calibri"/>
      <scheme val="minor"/>
    </font>
    <font>
      <b/>
      <sz val="11.0"/>
      <color theme="0"/>
      <name val="Meiryo"/>
    </font>
    <font>
      <b/>
      <sz val="11.0"/>
      <color rgb="FFFFFFFF"/>
      <name val="Meiryo"/>
    </font>
    <font>
      <sz val="11.0"/>
      <color rgb="FFFF0000"/>
      <name val="Meiryo"/>
    </font>
    <font>
      <sz val="11.0"/>
      <color theme="1"/>
      <name val="Meiryo"/>
    </font>
    <font>
      <sz val="11.0"/>
      <color rgb="FF000000"/>
      <name val="Meiryo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E2EFD9"/>
        <bgColor rgb="FFE2EF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vertical="center"/>
    </xf>
    <xf borderId="1" fillId="2" fontId="1" numFmtId="1" xfId="0" applyAlignment="1" applyBorder="1" applyFont="1" applyNumberFormat="1">
      <alignment horizontal="left" vertical="center"/>
    </xf>
    <xf borderId="1" fillId="2" fontId="2" numFmtId="1" xfId="0" applyAlignment="1" applyBorder="1" applyFont="1" applyNumberFormat="1">
      <alignment horizontal="left"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center"/>
    </xf>
    <xf borderId="1" fillId="0" fontId="5" numFmtId="0" xfId="0" applyAlignment="1" applyBorder="1" applyFont="1">
      <alignment horizontal="left" vertical="center"/>
    </xf>
    <xf borderId="1" fillId="0" fontId="5" numFmtId="1" xfId="0" applyAlignment="1" applyBorder="1" applyFont="1" applyNumberFormat="1">
      <alignment horizontal="left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center" vertical="center"/>
    </xf>
    <xf borderId="1" fillId="0" fontId="4" numFmtId="165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1" fillId="0" fontId="4" numFmtId="166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vertical="center"/>
    </xf>
    <xf borderId="1" fillId="3" fontId="3" numFmtId="0" xfId="0" applyAlignment="1" applyBorder="1" applyFill="1" applyFont="1">
      <alignment vertical="center"/>
    </xf>
    <xf borderId="1" fillId="0" fontId="3" numFmtId="0" xfId="0" applyAlignment="1" applyBorder="1" applyFont="1">
      <alignment horizontal="left" vertical="center"/>
    </xf>
    <xf borderId="1" fillId="0" fontId="3" numFmtId="1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165" xfId="0" applyAlignment="1" applyBorder="1" applyFont="1" applyNumberFormat="1">
      <alignment vertical="center"/>
    </xf>
    <xf borderId="1" fillId="0" fontId="3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readingOrder="0" vertical="center"/>
    </xf>
    <xf borderId="0" fillId="0" fontId="5" numFmtId="0" xfId="0" applyAlignment="1" applyFont="1">
      <alignment horizontal="left" vertical="center"/>
    </xf>
    <xf borderId="0" fillId="0" fontId="5" numFmtId="1" xfId="0" applyAlignment="1" applyFont="1" applyNumberFormat="1">
      <alignment horizontal="left" vertical="center"/>
    </xf>
    <xf borderId="0" fillId="0" fontId="5" numFmtId="164" xfId="0" applyAlignment="1" applyFont="1" applyNumberFormat="1">
      <alignment horizontal="center" vertical="center"/>
    </xf>
    <xf borderId="0" fillId="0" fontId="4" numFmtId="165" xfId="0" applyAlignment="1" applyFont="1" applyNumberFormat="1">
      <alignment vertical="center"/>
    </xf>
    <xf borderId="2" fillId="0" fontId="4" numFmtId="166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1" fillId="0" fontId="4" numFmtId="0" xfId="0" applyAlignment="1" applyBorder="1" applyFont="1">
      <alignment horizontal="left" vertical="center"/>
    </xf>
    <xf borderId="1" fillId="0" fontId="4" numFmtId="1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1" fillId="3" fontId="5" numFmtId="165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vertical="center"/>
    </xf>
    <xf borderId="1" fillId="0" fontId="6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3" width="17.0"/>
    <col customWidth="1" min="4" max="4" width="63.57"/>
    <col customWidth="1" min="5" max="5" width="8.71"/>
    <col customWidth="1" min="6" max="6" width="7.14"/>
    <col customWidth="1" min="7" max="7" width="11.86"/>
    <col customWidth="1" min="8" max="8" width="15.29"/>
    <col customWidth="1" min="9" max="9" width="29.71"/>
    <col customWidth="1" min="10" max="10" width="16.57"/>
    <col customWidth="1" min="11" max="11" width="13.29"/>
    <col customWidth="1" min="12" max="12" width="17.86"/>
    <col customWidth="1" min="13" max="13" width="13.29"/>
    <col customWidth="1" min="14" max="14" width="10.43"/>
    <col customWidth="1" min="15" max="15" width="13.29"/>
    <col customWidth="1" min="16" max="16" width="48.43"/>
    <col customWidth="1" min="17" max="17" width="7.14"/>
    <col customWidth="1" min="18" max="18" width="8.29"/>
    <col customWidth="1" min="19" max="19" width="10.57"/>
    <col customWidth="1" min="20" max="41" width="12.86"/>
  </cols>
  <sheetData>
    <row r="1" ht="18.75" customHeight="1">
      <c r="A1" s="1"/>
      <c r="B1" s="2"/>
      <c r="C1" s="3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/>
      <c r="I1" s="4"/>
      <c r="J1" s="5" t="s">
        <v>5</v>
      </c>
      <c r="K1" s="6"/>
      <c r="L1" s="7" t="s">
        <v>6</v>
      </c>
      <c r="M1" s="6"/>
      <c r="N1" s="6"/>
      <c r="O1" s="6"/>
      <c r="P1" s="6"/>
      <c r="Q1" s="6"/>
      <c r="R1" s="6"/>
      <c r="S1" s="6"/>
      <c r="T1" s="6"/>
      <c r="U1" s="6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ht="18.75" customHeight="1">
      <c r="A2" s="9" t="s">
        <v>7</v>
      </c>
      <c r="B2" s="10">
        <v>4.571355639123E12</v>
      </c>
      <c r="C2" s="10" t="s">
        <v>8</v>
      </c>
      <c r="D2" s="11" t="s">
        <v>9</v>
      </c>
      <c r="E2" s="12">
        <v>10.0</v>
      </c>
      <c r="F2" s="12">
        <v>425.0</v>
      </c>
      <c r="G2" s="13">
        <f t="shared" ref="G2:G64" si="1">F2*E2</f>
        <v>4250</v>
      </c>
      <c r="H2" s="11"/>
      <c r="I2" s="11"/>
      <c r="J2" s="14">
        <v>45847.0</v>
      </c>
      <c r="K2" s="15"/>
      <c r="L2" s="15" t="s">
        <v>10</v>
      </c>
      <c r="M2" s="15"/>
      <c r="N2" s="16"/>
      <c r="O2" s="15"/>
      <c r="P2" s="8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</row>
    <row r="3" ht="18.75" customHeight="1">
      <c r="A3" s="9" t="s">
        <v>7</v>
      </c>
      <c r="B3" s="10">
        <v>4.571355639109E12</v>
      </c>
      <c r="C3" s="10" t="s">
        <v>11</v>
      </c>
      <c r="D3" s="11" t="s">
        <v>12</v>
      </c>
      <c r="E3" s="12">
        <v>10.0</v>
      </c>
      <c r="F3" s="12">
        <v>425.0</v>
      </c>
      <c r="G3" s="13">
        <f t="shared" si="1"/>
        <v>4250</v>
      </c>
      <c r="H3" s="11"/>
      <c r="I3" s="11"/>
      <c r="J3" s="14">
        <v>45847.0</v>
      </c>
      <c r="K3" s="15"/>
      <c r="L3" s="15" t="s">
        <v>10</v>
      </c>
      <c r="M3" s="15"/>
      <c r="N3" s="16"/>
      <c r="O3" s="15"/>
      <c r="P3" s="8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</row>
    <row r="4" ht="18.75" customHeight="1">
      <c r="A4" s="9" t="s">
        <v>13</v>
      </c>
      <c r="B4" s="10">
        <v>4.571361305616E12</v>
      </c>
      <c r="C4" s="10" t="s">
        <v>14</v>
      </c>
      <c r="D4" s="11" t="s">
        <v>15</v>
      </c>
      <c r="E4" s="12">
        <v>10.0</v>
      </c>
      <c r="F4" s="12">
        <v>397.0</v>
      </c>
      <c r="G4" s="13">
        <f t="shared" si="1"/>
        <v>3970</v>
      </c>
      <c r="H4" s="11"/>
      <c r="I4" s="11"/>
      <c r="J4" s="14">
        <v>45972.0</v>
      </c>
      <c r="K4" s="15"/>
      <c r="L4" s="15" t="s">
        <v>16</v>
      </c>
      <c r="M4" s="15"/>
      <c r="N4" s="16" t="s">
        <v>17</v>
      </c>
      <c r="O4" s="15" t="s">
        <v>18</v>
      </c>
      <c r="P4" s="8" t="s">
        <v>14</v>
      </c>
      <c r="Q4" s="17">
        <f t="shared" ref="Q4:R4" si="2">E4</f>
        <v>10</v>
      </c>
      <c r="R4" s="17">
        <f t="shared" si="2"/>
        <v>397</v>
      </c>
      <c r="S4" s="17">
        <f t="shared" ref="S4:S23" si="4">R4*Q4</f>
        <v>3970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ht="16.5" customHeight="1">
      <c r="A5" s="9" t="s">
        <v>13</v>
      </c>
      <c r="B5" s="10">
        <v>4.571361305586E12</v>
      </c>
      <c r="C5" s="10" t="s">
        <v>19</v>
      </c>
      <c r="D5" s="11" t="s">
        <v>20</v>
      </c>
      <c r="E5" s="12">
        <v>5.0</v>
      </c>
      <c r="F5" s="12">
        <v>397.0</v>
      </c>
      <c r="G5" s="13">
        <f t="shared" si="1"/>
        <v>1985</v>
      </c>
      <c r="H5" s="11"/>
      <c r="I5" s="11"/>
      <c r="J5" s="14">
        <v>45972.0</v>
      </c>
      <c r="K5" s="15"/>
      <c r="L5" s="15" t="s">
        <v>16</v>
      </c>
      <c r="M5" s="15"/>
      <c r="N5" s="16" t="s">
        <v>17</v>
      </c>
      <c r="O5" s="15" t="s">
        <v>18</v>
      </c>
      <c r="P5" s="8" t="s">
        <v>19</v>
      </c>
      <c r="Q5" s="17">
        <f t="shared" ref="Q5:R5" si="3">E5</f>
        <v>5</v>
      </c>
      <c r="R5" s="17">
        <f t="shared" si="3"/>
        <v>397</v>
      </c>
      <c r="S5" s="17">
        <f t="shared" si="4"/>
        <v>1985</v>
      </c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</row>
    <row r="6" ht="18.75" customHeight="1">
      <c r="A6" s="9" t="s">
        <v>13</v>
      </c>
      <c r="B6" s="10">
        <v>4.571361305579E12</v>
      </c>
      <c r="C6" s="10" t="s">
        <v>21</v>
      </c>
      <c r="D6" s="11" t="s">
        <v>22</v>
      </c>
      <c r="E6" s="12">
        <v>5.0</v>
      </c>
      <c r="F6" s="12">
        <v>397.0</v>
      </c>
      <c r="G6" s="13">
        <f t="shared" si="1"/>
        <v>1985</v>
      </c>
      <c r="H6" s="11"/>
      <c r="I6" s="11"/>
      <c r="J6" s="14">
        <v>45972.0</v>
      </c>
      <c r="K6" s="15"/>
      <c r="L6" s="15" t="s">
        <v>16</v>
      </c>
      <c r="M6" s="15"/>
      <c r="N6" s="18" t="s">
        <v>17</v>
      </c>
      <c r="O6" s="12" t="s">
        <v>18</v>
      </c>
      <c r="P6" s="11" t="s">
        <v>21</v>
      </c>
      <c r="Q6" s="19">
        <f t="shared" ref="Q6:R6" si="5">E6</f>
        <v>5</v>
      </c>
      <c r="R6" s="19">
        <f t="shared" si="5"/>
        <v>397</v>
      </c>
      <c r="S6" s="19">
        <f t="shared" si="4"/>
        <v>1985</v>
      </c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</row>
    <row r="7" ht="18.75" customHeight="1">
      <c r="A7" s="9" t="s">
        <v>13</v>
      </c>
      <c r="B7" s="10">
        <v>4.571361304596E12</v>
      </c>
      <c r="C7" s="10" t="s">
        <v>23</v>
      </c>
      <c r="D7" s="11" t="s">
        <v>24</v>
      </c>
      <c r="E7" s="12">
        <v>5.0</v>
      </c>
      <c r="F7" s="12">
        <v>397.0</v>
      </c>
      <c r="G7" s="13">
        <f t="shared" si="1"/>
        <v>1985</v>
      </c>
      <c r="H7" s="11"/>
      <c r="I7" s="11"/>
      <c r="J7" s="14">
        <v>45972.0</v>
      </c>
      <c r="K7" s="15"/>
      <c r="L7" s="15" t="s">
        <v>16</v>
      </c>
      <c r="M7" s="15"/>
      <c r="N7" s="18" t="s">
        <v>17</v>
      </c>
      <c r="O7" s="12" t="s">
        <v>18</v>
      </c>
      <c r="P7" s="11" t="s">
        <v>23</v>
      </c>
      <c r="Q7" s="19">
        <f t="shared" ref="Q7:R7" si="6">E7</f>
        <v>5</v>
      </c>
      <c r="R7" s="19">
        <f t="shared" si="6"/>
        <v>397</v>
      </c>
      <c r="S7" s="19">
        <f t="shared" si="4"/>
        <v>1985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</row>
    <row r="8" ht="18.75" customHeight="1">
      <c r="A8" s="9" t="s">
        <v>13</v>
      </c>
      <c r="B8" s="10">
        <v>4.571361304589E12</v>
      </c>
      <c r="C8" s="10" t="s">
        <v>25</v>
      </c>
      <c r="D8" s="11" t="s">
        <v>26</v>
      </c>
      <c r="E8" s="12">
        <v>5.0</v>
      </c>
      <c r="F8" s="12">
        <v>397.0</v>
      </c>
      <c r="G8" s="13">
        <f t="shared" si="1"/>
        <v>1985</v>
      </c>
      <c r="H8" s="11"/>
      <c r="I8" s="11"/>
      <c r="J8" s="14">
        <v>45972.0</v>
      </c>
      <c r="K8" s="15"/>
      <c r="L8" s="15" t="s">
        <v>16</v>
      </c>
      <c r="M8" s="15"/>
      <c r="N8" s="18" t="s">
        <v>17</v>
      </c>
      <c r="O8" s="12" t="s">
        <v>18</v>
      </c>
      <c r="P8" s="11" t="s">
        <v>25</v>
      </c>
      <c r="Q8" s="19">
        <f t="shared" ref="Q8:R8" si="7">E8</f>
        <v>5</v>
      </c>
      <c r="R8" s="19">
        <f t="shared" si="7"/>
        <v>397</v>
      </c>
      <c r="S8" s="19">
        <f t="shared" si="4"/>
        <v>1985</v>
      </c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</row>
    <row r="9" ht="18.75" customHeight="1">
      <c r="A9" s="9" t="s">
        <v>13</v>
      </c>
      <c r="B9" s="10">
        <v>4.571361306651E12</v>
      </c>
      <c r="C9" s="10" t="s">
        <v>27</v>
      </c>
      <c r="D9" s="11" t="s">
        <v>26</v>
      </c>
      <c r="E9" s="12">
        <v>3.0</v>
      </c>
      <c r="F9" s="12">
        <v>1561.0</v>
      </c>
      <c r="G9" s="13">
        <f t="shared" si="1"/>
        <v>4683</v>
      </c>
      <c r="H9" s="11"/>
      <c r="I9" s="11"/>
      <c r="J9" s="14">
        <v>45972.0</v>
      </c>
      <c r="K9" s="15"/>
      <c r="L9" s="15" t="s">
        <v>16</v>
      </c>
      <c r="M9" s="15"/>
      <c r="N9" s="18" t="s">
        <v>28</v>
      </c>
      <c r="O9" s="12" t="s">
        <v>29</v>
      </c>
      <c r="P9" s="11" t="s">
        <v>30</v>
      </c>
      <c r="Q9" s="19">
        <f t="shared" ref="Q9:R9" si="8">E9</f>
        <v>3</v>
      </c>
      <c r="R9" s="19">
        <f t="shared" si="8"/>
        <v>1561</v>
      </c>
      <c r="S9" s="19">
        <f t="shared" si="4"/>
        <v>4683</v>
      </c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</row>
    <row r="10" ht="18.75" customHeight="1">
      <c r="A10" s="9" t="s">
        <v>13</v>
      </c>
      <c r="B10" s="10">
        <v>4.571361305784E12</v>
      </c>
      <c r="C10" s="10" t="s">
        <v>31</v>
      </c>
      <c r="D10" s="11" t="s">
        <v>32</v>
      </c>
      <c r="E10" s="12">
        <v>3.0</v>
      </c>
      <c r="F10" s="12">
        <v>1561.0</v>
      </c>
      <c r="G10" s="13">
        <f t="shared" si="1"/>
        <v>4683</v>
      </c>
      <c r="H10" s="11"/>
      <c r="I10" s="11"/>
      <c r="J10" s="14">
        <v>45972.0</v>
      </c>
      <c r="K10" s="15"/>
      <c r="L10" s="15" t="s">
        <v>16</v>
      </c>
      <c r="M10" s="15"/>
      <c r="N10" s="18" t="s">
        <v>28</v>
      </c>
      <c r="O10" s="12" t="s">
        <v>29</v>
      </c>
      <c r="P10" s="11" t="s">
        <v>33</v>
      </c>
      <c r="Q10" s="19">
        <f t="shared" ref="Q10:R10" si="9">E10</f>
        <v>3</v>
      </c>
      <c r="R10" s="19">
        <f t="shared" si="9"/>
        <v>1561</v>
      </c>
      <c r="S10" s="19">
        <f t="shared" si="4"/>
        <v>4683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</row>
    <row r="11" ht="18.75" customHeight="1">
      <c r="A11" s="9" t="s">
        <v>34</v>
      </c>
      <c r="B11" s="10">
        <v>4.571631312382E12</v>
      </c>
      <c r="C11" s="10" t="s">
        <v>35</v>
      </c>
      <c r="D11" s="11" t="s">
        <v>36</v>
      </c>
      <c r="E11" s="12">
        <v>8.0</v>
      </c>
      <c r="F11" s="12">
        <v>2337.0</v>
      </c>
      <c r="G11" s="13">
        <f t="shared" si="1"/>
        <v>18696</v>
      </c>
      <c r="H11" s="11"/>
      <c r="I11" s="11"/>
      <c r="J11" s="14">
        <v>45950.0</v>
      </c>
      <c r="K11" s="15"/>
      <c r="L11" s="15" t="s">
        <v>37</v>
      </c>
      <c r="M11" s="15"/>
      <c r="N11" s="18" t="s">
        <v>38</v>
      </c>
      <c r="O11" s="12" t="s">
        <v>29</v>
      </c>
      <c r="P11" s="11" t="s">
        <v>39</v>
      </c>
      <c r="Q11" s="19">
        <f t="shared" ref="Q11:R11" si="10">E11</f>
        <v>8</v>
      </c>
      <c r="R11" s="19">
        <f t="shared" si="10"/>
        <v>2337</v>
      </c>
      <c r="S11" s="19">
        <f t="shared" si="4"/>
        <v>18696</v>
      </c>
      <c r="T11" s="17">
        <v>21.4</v>
      </c>
      <c r="U11" s="17" t="s">
        <v>40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ht="18.75" customHeight="1">
      <c r="A12" s="9" t="s">
        <v>34</v>
      </c>
      <c r="B12" s="10">
        <v>4.571631312382E12</v>
      </c>
      <c r="C12" s="10" t="s">
        <v>35</v>
      </c>
      <c r="D12" s="11" t="s">
        <v>36</v>
      </c>
      <c r="E12" s="12">
        <v>12.0</v>
      </c>
      <c r="F12" s="12">
        <v>2337.0</v>
      </c>
      <c r="G12" s="13">
        <f t="shared" si="1"/>
        <v>28044</v>
      </c>
      <c r="H12" s="11"/>
      <c r="I12" s="11"/>
      <c r="J12" s="14">
        <v>45950.0</v>
      </c>
      <c r="K12" s="15"/>
      <c r="L12" s="15" t="s">
        <v>37</v>
      </c>
      <c r="M12" s="15"/>
      <c r="N12" s="18" t="s">
        <v>41</v>
      </c>
      <c r="O12" s="12" t="s">
        <v>29</v>
      </c>
      <c r="P12" s="11" t="s">
        <v>39</v>
      </c>
      <c r="Q12" s="19">
        <f t="shared" ref="Q12:R12" si="11">E12</f>
        <v>12</v>
      </c>
      <c r="R12" s="19">
        <f t="shared" si="11"/>
        <v>2337</v>
      </c>
      <c r="S12" s="19">
        <f t="shared" si="4"/>
        <v>28044</v>
      </c>
      <c r="T12" s="17">
        <v>18.4</v>
      </c>
      <c r="U12" s="17" t="s">
        <v>40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 ht="18.75" customHeight="1">
      <c r="A13" s="9" t="s">
        <v>42</v>
      </c>
      <c r="B13" s="10">
        <v>4.571631312382E12</v>
      </c>
      <c r="C13" s="10" t="s">
        <v>35</v>
      </c>
      <c r="D13" s="11" t="s">
        <v>36</v>
      </c>
      <c r="E13" s="12">
        <v>3.0</v>
      </c>
      <c r="F13" s="12">
        <v>2337.0</v>
      </c>
      <c r="G13" s="13">
        <f t="shared" si="1"/>
        <v>7011</v>
      </c>
      <c r="H13" s="11"/>
      <c r="I13" s="11"/>
      <c r="J13" s="14">
        <v>45950.0</v>
      </c>
      <c r="K13" s="15"/>
      <c r="L13" s="15" t="s">
        <v>37</v>
      </c>
      <c r="M13" s="15"/>
      <c r="N13" s="18" t="s">
        <v>43</v>
      </c>
      <c r="O13" s="12" t="s">
        <v>29</v>
      </c>
      <c r="P13" s="11" t="s">
        <v>39</v>
      </c>
      <c r="Q13" s="19">
        <f t="shared" ref="Q13:R13" si="12">E13</f>
        <v>3</v>
      </c>
      <c r="R13" s="19">
        <f t="shared" si="12"/>
        <v>2337</v>
      </c>
      <c r="S13" s="19">
        <f t="shared" si="4"/>
        <v>7011</v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</row>
    <row r="14" ht="18.75" customHeight="1">
      <c r="A14" s="9" t="s">
        <v>44</v>
      </c>
      <c r="B14" s="10">
        <v>4.571631312382E12</v>
      </c>
      <c r="C14" s="10" t="s">
        <v>35</v>
      </c>
      <c r="D14" s="11" t="s">
        <v>36</v>
      </c>
      <c r="E14" s="12">
        <v>8.0</v>
      </c>
      <c r="F14" s="12">
        <v>2337.0</v>
      </c>
      <c r="G14" s="13">
        <f t="shared" si="1"/>
        <v>18696</v>
      </c>
      <c r="H14" s="11"/>
      <c r="I14" s="11"/>
      <c r="J14" s="14">
        <v>45964.0</v>
      </c>
      <c r="K14" s="15"/>
      <c r="L14" s="15" t="s">
        <v>37</v>
      </c>
      <c r="M14" s="15"/>
      <c r="N14" s="18" t="s">
        <v>45</v>
      </c>
      <c r="O14" s="12" t="s">
        <v>29</v>
      </c>
      <c r="P14" s="11" t="s">
        <v>39</v>
      </c>
      <c r="Q14" s="19">
        <f t="shared" ref="Q14:R14" si="13">E14</f>
        <v>8</v>
      </c>
      <c r="R14" s="19">
        <f t="shared" si="13"/>
        <v>2337</v>
      </c>
      <c r="S14" s="19">
        <f t="shared" si="4"/>
        <v>18696</v>
      </c>
      <c r="T14" s="17">
        <v>15.2</v>
      </c>
      <c r="U14" s="17" t="s">
        <v>46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ht="18.75" customHeight="1">
      <c r="A15" s="9" t="s">
        <v>44</v>
      </c>
      <c r="B15" s="10">
        <v>4.571631312382E12</v>
      </c>
      <c r="C15" s="10" t="s">
        <v>35</v>
      </c>
      <c r="D15" s="11" t="s">
        <v>36</v>
      </c>
      <c r="E15" s="12">
        <v>20.0</v>
      </c>
      <c r="F15" s="12">
        <v>2337.0</v>
      </c>
      <c r="G15" s="13">
        <f t="shared" si="1"/>
        <v>46740</v>
      </c>
      <c r="H15" s="11"/>
      <c r="I15" s="11"/>
      <c r="J15" s="14">
        <v>45979.0</v>
      </c>
      <c r="K15" s="15"/>
      <c r="L15" s="15" t="s">
        <v>37</v>
      </c>
      <c r="M15" s="15"/>
      <c r="N15" s="18" t="s">
        <v>45</v>
      </c>
      <c r="O15" s="12" t="s">
        <v>29</v>
      </c>
      <c r="P15" s="11" t="s">
        <v>39</v>
      </c>
      <c r="Q15" s="19">
        <f t="shared" ref="Q15:R15" si="14">E15</f>
        <v>20</v>
      </c>
      <c r="R15" s="19">
        <f t="shared" si="14"/>
        <v>2337</v>
      </c>
      <c r="S15" s="19">
        <f t="shared" si="4"/>
        <v>46740</v>
      </c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</row>
    <row r="16" ht="18.75" customHeight="1">
      <c r="A16" s="9" t="s">
        <v>44</v>
      </c>
      <c r="B16" s="10">
        <v>4.571631312382E12</v>
      </c>
      <c r="C16" s="10" t="s">
        <v>35</v>
      </c>
      <c r="D16" s="11" t="s">
        <v>36</v>
      </c>
      <c r="E16" s="12">
        <v>2.0</v>
      </c>
      <c r="F16" s="12">
        <v>2337.0</v>
      </c>
      <c r="G16" s="13">
        <f t="shared" si="1"/>
        <v>4674</v>
      </c>
      <c r="H16" s="11"/>
      <c r="I16" s="11"/>
      <c r="J16" s="14">
        <v>45964.0</v>
      </c>
      <c r="K16" s="15"/>
      <c r="L16" s="15" t="s">
        <v>37</v>
      </c>
      <c r="M16" s="15"/>
      <c r="N16" s="18" t="s">
        <v>47</v>
      </c>
      <c r="O16" s="12" t="s">
        <v>29</v>
      </c>
      <c r="P16" s="11" t="s">
        <v>39</v>
      </c>
      <c r="Q16" s="19">
        <f t="shared" ref="Q16:R16" si="15">E16</f>
        <v>2</v>
      </c>
      <c r="R16" s="19">
        <f t="shared" si="15"/>
        <v>2337</v>
      </c>
      <c r="S16" s="19">
        <f t="shared" si="4"/>
        <v>4674</v>
      </c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</row>
    <row r="17" ht="18.75" customHeight="1">
      <c r="A17" s="9" t="s">
        <v>48</v>
      </c>
      <c r="B17" s="10">
        <v>4.582616158086E12</v>
      </c>
      <c r="C17" s="10" t="s">
        <v>49</v>
      </c>
      <c r="D17" s="11" t="s">
        <v>50</v>
      </c>
      <c r="E17" s="12">
        <v>10.0</v>
      </c>
      <c r="F17" s="12">
        <v>1676.0</v>
      </c>
      <c r="G17" s="13">
        <f t="shared" si="1"/>
        <v>16760</v>
      </c>
      <c r="H17" s="11"/>
      <c r="I17" s="11"/>
      <c r="J17" s="14">
        <v>45974.0</v>
      </c>
      <c r="K17" s="15"/>
      <c r="L17" s="15" t="s">
        <v>37</v>
      </c>
      <c r="M17" s="15"/>
      <c r="N17" s="18" t="s">
        <v>51</v>
      </c>
      <c r="O17" s="12" t="s">
        <v>29</v>
      </c>
      <c r="P17" s="11" t="s">
        <v>52</v>
      </c>
      <c r="Q17" s="19">
        <f t="shared" ref="Q17:R17" si="16">E17</f>
        <v>10</v>
      </c>
      <c r="R17" s="19">
        <f t="shared" si="16"/>
        <v>1676</v>
      </c>
      <c r="S17" s="19">
        <f t="shared" si="4"/>
        <v>16760</v>
      </c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</row>
    <row r="18" ht="18.75" customHeight="1">
      <c r="A18" s="9" t="s">
        <v>34</v>
      </c>
      <c r="B18" s="10">
        <v>4.582616158079E12</v>
      </c>
      <c r="C18" s="10" t="s">
        <v>53</v>
      </c>
      <c r="D18" s="11" t="s">
        <v>54</v>
      </c>
      <c r="E18" s="12">
        <v>1.0</v>
      </c>
      <c r="F18" s="12">
        <v>4109.0</v>
      </c>
      <c r="G18" s="13">
        <f t="shared" si="1"/>
        <v>4109</v>
      </c>
      <c r="H18" s="11"/>
      <c r="I18" s="11"/>
      <c r="J18" s="14">
        <v>45975.0</v>
      </c>
      <c r="K18" s="15"/>
      <c r="L18" s="15" t="s">
        <v>37</v>
      </c>
      <c r="M18" s="15"/>
      <c r="N18" s="18" t="s">
        <v>55</v>
      </c>
      <c r="O18" s="12" t="s">
        <v>29</v>
      </c>
      <c r="P18" s="11" t="s">
        <v>56</v>
      </c>
      <c r="Q18" s="19">
        <f t="shared" ref="Q18:R18" si="17">E18</f>
        <v>1</v>
      </c>
      <c r="R18" s="19">
        <f t="shared" si="17"/>
        <v>4109</v>
      </c>
      <c r="S18" s="19">
        <f t="shared" si="4"/>
        <v>4109</v>
      </c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ht="18.75" customHeight="1">
      <c r="A19" s="9" t="s">
        <v>34</v>
      </c>
      <c r="B19" s="10">
        <v>4.582616158079E12</v>
      </c>
      <c r="C19" s="10" t="s">
        <v>53</v>
      </c>
      <c r="D19" s="11" t="s">
        <v>54</v>
      </c>
      <c r="E19" s="12">
        <v>2.0</v>
      </c>
      <c r="F19" s="12">
        <v>4109.0</v>
      </c>
      <c r="G19" s="13">
        <f t="shared" si="1"/>
        <v>8218</v>
      </c>
      <c r="H19" s="11"/>
      <c r="I19" s="11"/>
      <c r="J19" s="14">
        <v>45975.0</v>
      </c>
      <c r="K19" s="15"/>
      <c r="L19" s="15" t="s">
        <v>37</v>
      </c>
      <c r="M19" s="15"/>
      <c r="N19" s="18" t="s">
        <v>55</v>
      </c>
      <c r="O19" s="12" t="s">
        <v>29</v>
      </c>
      <c r="P19" s="11" t="s">
        <v>56</v>
      </c>
      <c r="Q19" s="19">
        <f t="shared" ref="Q19:R19" si="18">E19</f>
        <v>2</v>
      </c>
      <c r="R19" s="19">
        <f t="shared" si="18"/>
        <v>4109</v>
      </c>
      <c r="S19" s="19">
        <f t="shared" si="4"/>
        <v>8218</v>
      </c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</row>
    <row r="20" ht="18.75" customHeight="1">
      <c r="A20" s="9" t="s">
        <v>34</v>
      </c>
      <c r="B20" s="10">
        <v>4.582616158079E12</v>
      </c>
      <c r="C20" s="10" t="s">
        <v>53</v>
      </c>
      <c r="D20" s="11" t="s">
        <v>54</v>
      </c>
      <c r="E20" s="12">
        <v>7.0</v>
      </c>
      <c r="F20" s="12">
        <v>4109.0</v>
      </c>
      <c r="G20" s="13">
        <f t="shared" si="1"/>
        <v>28763</v>
      </c>
      <c r="H20" s="11"/>
      <c r="I20" s="11"/>
      <c r="J20" s="14">
        <v>45975.0</v>
      </c>
      <c r="K20" s="15"/>
      <c r="L20" s="15" t="s">
        <v>37</v>
      </c>
      <c r="M20" s="15"/>
      <c r="N20" s="18" t="s">
        <v>57</v>
      </c>
      <c r="O20" s="12" t="s">
        <v>29</v>
      </c>
      <c r="P20" s="11" t="s">
        <v>56</v>
      </c>
      <c r="Q20" s="19">
        <f t="shared" ref="Q20:R20" si="19">E20</f>
        <v>7</v>
      </c>
      <c r="R20" s="19">
        <f t="shared" si="19"/>
        <v>4109</v>
      </c>
      <c r="S20" s="19">
        <f t="shared" si="4"/>
        <v>28763</v>
      </c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</row>
    <row r="21" ht="18.75" customHeight="1">
      <c r="A21" s="9" t="s">
        <v>42</v>
      </c>
      <c r="B21" s="10">
        <v>4.582616157973E12</v>
      </c>
      <c r="C21" s="10" t="s">
        <v>58</v>
      </c>
      <c r="D21" s="11" t="s">
        <v>59</v>
      </c>
      <c r="E21" s="12">
        <v>3.0</v>
      </c>
      <c r="F21" s="12">
        <v>1676.0</v>
      </c>
      <c r="G21" s="13">
        <f t="shared" si="1"/>
        <v>5028</v>
      </c>
      <c r="H21" s="11"/>
      <c r="I21" s="11"/>
      <c r="J21" s="14">
        <v>45973.0</v>
      </c>
      <c r="K21" s="15"/>
      <c r="L21" s="15" t="s">
        <v>37</v>
      </c>
      <c r="M21" s="15"/>
      <c r="N21" s="18" t="s">
        <v>60</v>
      </c>
      <c r="O21" s="12" t="s">
        <v>29</v>
      </c>
      <c r="P21" s="11" t="s">
        <v>61</v>
      </c>
      <c r="Q21" s="19">
        <f t="shared" ref="Q21:R21" si="20">E21</f>
        <v>3</v>
      </c>
      <c r="R21" s="19">
        <f t="shared" si="20"/>
        <v>1676</v>
      </c>
      <c r="S21" s="19">
        <f t="shared" si="4"/>
        <v>5028</v>
      </c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</row>
    <row r="22" ht="18.75" customHeight="1">
      <c r="A22" s="9" t="s">
        <v>34</v>
      </c>
      <c r="B22" s="10">
        <v>4.582616130235E12</v>
      </c>
      <c r="C22" s="10" t="s">
        <v>62</v>
      </c>
      <c r="D22" s="11" t="s">
        <v>63</v>
      </c>
      <c r="E22" s="12">
        <v>12.0</v>
      </c>
      <c r="F22" s="12">
        <v>2592.0</v>
      </c>
      <c r="G22" s="13">
        <f t="shared" si="1"/>
        <v>31104</v>
      </c>
      <c r="H22" s="11"/>
      <c r="I22" s="11" t="s">
        <v>64</v>
      </c>
      <c r="J22" s="14">
        <v>45973.0</v>
      </c>
      <c r="K22" s="15"/>
      <c r="L22" s="15" t="s">
        <v>65</v>
      </c>
      <c r="M22" s="15"/>
      <c r="N22" s="18" t="s">
        <v>66</v>
      </c>
      <c r="O22" s="12" t="s">
        <v>29</v>
      </c>
      <c r="P22" s="11" t="s">
        <v>67</v>
      </c>
      <c r="Q22" s="19">
        <f t="shared" ref="Q22:R22" si="21">E22</f>
        <v>12</v>
      </c>
      <c r="R22" s="19">
        <f t="shared" si="21"/>
        <v>2592</v>
      </c>
      <c r="S22" s="19">
        <f t="shared" si="4"/>
        <v>31104</v>
      </c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</row>
    <row r="23" ht="18.75" customHeight="1">
      <c r="A23" s="9" t="s">
        <v>34</v>
      </c>
      <c r="B23" s="10">
        <v>4.582616130235E12</v>
      </c>
      <c r="C23" s="10" t="s">
        <v>62</v>
      </c>
      <c r="D23" s="11" t="s">
        <v>63</v>
      </c>
      <c r="E23" s="12">
        <v>8.0</v>
      </c>
      <c r="F23" s="12">
        <v>2592.0</v>
      </c>
      <c r="G23" s="13">
        <f t="shared" si="1"/>
        <v>20736</v>
      </c>
      <c r="H23" s="11"/>
      <c r="I23" s="11" t="s">
        <v>64</v>
      </c>
      <c r="J23" s="14">
        <v>45973.0</v>
      </c>
      <c r="K23" s="15"/>
      <c r="L23" s="15" t="s">
        <v>65</v>
      </c>
      <c r="M23" s="15"/>
      <c r="N23" s="18" t="s">
        <v>68</v>
      </c>
      <c r="O23" s="12" t="s">
        <v>29</v>
      </c>
      <c r="P23" s="11" t="s">
        <v>67</v>
      </c>
      <c r="Q23" s="19">
        <f t="shared" ref="Q23:R23" si="22">E23</f>
        <v>8</v>
      </c>
      <c r="R23" s="19">
        <f t="shared" si="22"/>
        <v>2592</v>
      </c>
      <c r="S23" s="19">
        <f t="shared" si="4"/>
        <v>20736</v>
      </c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</row>
    <row r="24" ht="18.75" customHeight="1">
      <c r="A24" s="9" t="s">
        <v>34</v>
      </c>
      <c r="B24" s="10">
        <v>4.580279019997E12</v>
      </c>
      <c r="C24" s="10" t="s">
        <v>69</v>
      </c>
      <c r="D24" s="11" t="s">
        <v>70</v>
      </c>
      <c r="E24" s="12">
        <v>1.0</v>
      </c>
      <c r="F24" s="12">
        <v>0.0</v>
      </c>
      <c r="G24" s="13">
        <f t="shared" si="1"/>
        <v>0</v>
      </c>
      <c r="H24" s="11" t="s">
        <v>71</v>
      </c>
      <c r="I24" s="11" t="s">
        <v>72</v>
      </c>
      <c r="J24" s="14">
        <v>45953.0</v>
      </c>
      <c r="K24" s="15"/>
      <c r="L24" s="15" t="s">
        <v>65</v>
      </c>
      <c r="M24" s="15"/>
      <c r="N24" s="18"/>
      <c r="O24" s="12"/>
      <c r="P24" s="11"/>
      <c r="Q24" s="19"/>
      <c r="R24" s="20"/>
      <c r="S24" s="19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</row>
    <row r="25" ht="18.75" customHeight="1">
      <c r="A25" s="9" t="s">
        <v>34</v>
      </c>
      <c r="B25" s="10">
        <v>4.580279019997E12</v>
      </c>
      <c r="C25" s="10" t="s">
        <v>69</v>
      </c>
      <c r="D25" s="11" t="s">
        <v>70</v>
      </c>
      <c r="E25" s="12">
        <v>20.0</v>
      </c>
      <c r="F25" s="12">
        <v>2280.0</v>
      </c>
      <c r="G25" s="13">
        <f t="shared" si="1"/>
        <v>45600</v>
      </c>
      <c r="H25" s="11"/>
      <c r="I25" s="11" t="s">
        <v>72</v>
      </c>
      <c r="J25" s="14">
        <v>45973.0</v>
      </c>
      <c r="K25" s="15"/>
      <c r="L25" s="15" t="s">
        <v>65</v>
      </c>
      <c r="M25" s="15"/>
      <c r="N25" s="18" t="s">
        <v>66</v>
      </c>
      <c r="O25" s="12" t="s">
        <v>29</v>
      </c>
      <c r="P25" s="11" t="s">
        <v>73</v>
      </c>
      <c r="Q25" s="19">
        <f t="shared" ref="Q25:Q46" si="23">E25</f>
        <v>20</v>
      </c>
      <c r="R25" s="20">
        <v>2172.0</v>
      </c>
      <c r="S25" s="19">
        <f t="shared" ref="S25:S46" si="24">R25*Q25</f>
        <v>43440</v>
      </c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</row>
    <row r="26" ht="18.75" customHeight="1">
      <c r="A26" s="9" t="s">
        <v>34</v>
      </c>
      <c r="B26" s="10">
        <v>4.571631314553E12</v>
      </c>
      <c r="C26" s="10" t="s">
        <v>74</v>
      </c>
      <c r="D26" s="11" t="s">
        <v>75</v>
      </c>
      <c r="E26" s="12">
        <v>2.0</v>
      </c>
      <c r="F26" s="12">
        <v>13500.0</v>
      </c>
      <c r="G26" s="13">
        <f t="shared" si="1"/>
        <v>27000</v>
      </c>
      <c r="H26" s="11"/>
      <c r="I26" s="11"/>
      <c r="J26" s="14">
        <v>45979.0</v>
      </c>
      <c r="K26" s="15"/>
      <c r="L26" s="15" t="s">
        <v>76</v>
      </c>
      <c r="M26" s="15"/>
      <c r="N26" s="18" t="s">
        <v>38</v>
      </c>
      <c r="O26" s="12" t="s">
        <v>29</v>
      </c>
      <c r="P26" s="11" t="s">
        <v>77</v>
      </c>
      <c r="Q26" s="19">
        <f t="shared" si="23"/>
        <v>2</v>
      </c>
      <c r="R26" s="19">
        <f t="shared" ref="R26:R46" si="25">F26</f>
        <v>13500</v>
      </c>
      <c r="S26" s="19">
        <f t="shared" si="24"/>
        <v>27000</v>
      </c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</row>
    <row r="27" ht="18.75" customHeight="1">
      <c r="A27" s="9" t="s">
        <v>34</v>
      </c>
      <c r="B27" s="10">
        <v>4.571631314553E12</v>
      </c>
      <c r="C27" s="10" t="s">
        <v>74</v>
      </c>
      <c r="D27" s="11" t="s">
        <v>75</v>
      </c>
      <c r="E27" s="12">
        <v>2.0</v>
      </c>
      <c r="F27" s="12">
        <v>13500.0</v>
      </c>
      <c r="G27" s="13">
        <f t="shared" si="1"/>
        <v>27000</v>
      </c>
      <c r="H27" s="11"/>
      <c r="I27" s="11"/>
      <c r="J27" s="14">
        <v>45979.0</v>
      </c>
      <c r="K27" s="15"/>
      <c r="L27" s="15" t="s">
        <v>76</v>
      </c>
      <c r="M27" s="15"/>
      <c r="N27" s="18" t="s">
        <v>78</v>
      </c>
      <c r="O27" s="12" t="s">
        <v>29</v>
      </c>
      <c r="P27" s="11" t="s">
        <v>77</v>
      </c>
      <c r="Q27" s="19">
        <f t="shared" si="23"/>
        <v>2</v>
      </c>
      <c r="R27" s="19">
        <f t="shared" si="25"/>
        <v>13500</v>
      </c>
      <c r="S27" s="19">
        <f t="shared" si="24"/>
        <v>27000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</row>
    <row r="28" ht="18.75" customHeight="1">
      <c r="A28" s="9" t="s">
        <v>34</v>
      </c>
      <c r="B28" s="10">
        <v>4.571631314553E12</v>
      </c>
      <c r="C28" s="10" t="s">
        <v>74</v>
      </c>
      <c r="D28" s="11" t="s">
        <v>75</v>
      </c>
      <c r="E28" s="12">
        <v>2.0</v>
      </c>
      <c r="F28" s="12">
        <v>13500.0</v>
      </c>
      <c r="G28" s="13">
        <f t="shared" si="1"/>
        <v>27000</v>
      </c>
      <c r="H28" s="11"/>
      <c r="I28" s="11"/>
      <c r="J28" s="14">
        <v>45979.0</v>
      </c>
      <c r="K28" s="15"/>
      <c r="L28" s="15" t="s">
        <v>76</v>
      </c>
      <c r="M28" s="15"/>
      <c r="N28" s="18" t="s">
        <v>79</v>
      </c>
      <c r="O28" s="12" t="s">
        <v>29</v>
      </c>
      <c r="P28" s="11" t="s">
        <v>77</v>
      </c>
      <c r="Q28" s="19">
        <f t="shared" si="23"/>
        <v>2</v>
      </c>
      <c r="R28" s="19">
        <f t="shared" si="25"/>
        <v>13500</v>
      </c>
      <c r="S28" s="19">
        <f t="shared" si="24"/>
        <v>27000</v>
      </c>
      <c r="T28" s="17">
        <v>11.2</v>
      </c>
      <c r="U28" s="17" t="s">
        <v>46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</row>
    <row r="29" ht="18.75" customHeight="1">
      <c r="A29" s="9" t="s">
        <v>34</v>
      </c>
      <c r="B29" s="10">
        <v>4.571631314553E12</v>
      </c>
      <c r="C29" s="10" t="s">
        <v>74</v>
      </c>
      <c r="D29" s="11" t="s">
        <v>75</v>
      </c>
      <c r="E29" s="12">
        <v>2.0</v>
      </c>
      <c r="F29" s="12">
        <v>13500.0</v>
      </c>
      <c r="G29" s="13">
        <f t="shared" si="1"/>
        <v>27000</v>
      </c>
      <c r="H29" s="11"/>
      <c r="I29" s="11"/>
      <c r="J29" s="14">
        <v>45979.0</v>
      </c>
      <c r="K29" s="15"/>
      <c r="L29" s="15" t="s">
        <v>76</v>
      </c>
      <c r="M29" s="15"/>
      <c r="N29" s="18" t="s">
        <v>80</v>
      </c>
      <c r="O29" s="12" t="s">
        <v>29</v>
      </c>
      <c r="P29" s="11" t="s">
        <v>77</v>
      </c>
      <c r="Q29" s="19">
        <f t="shared" si="23"/>
        <v>2</v>
      </c>
      <c r="R29" s="19">
        <f t="shared" si="25"/>
        <v>13500</v>
      </c>
      <c r="S29" s="19">
        <f t="shared" si="24"/>
        <v>27000</v>
      </c>
      <c r="T29" s="17">
        <v>11.3</v>
      </c>
      <c r="U29" s="17" t="s">
        <v>46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</row>
    <row r="30" ht="18.75" customHeight="1">
      <c r="A30" s="9" t="s">
        <v>34</v>
      </c>
      <c r="B30" s="10">
        <v>4.571631314553E12</v>
      </c>
      <c r="C30" s="10" t="s">
        <v>74</v>
      </c>
      <c r="D30" s="11" t="s">
        <v>75</v>
      </c>
      <c r="E30" s="12">
        <v>2.0</v>
      </c>
      <c r="F30" s="12">
        <v>13500.0</v>
      </c>
      <c r="G30" s="13">
        <f t="shared" si="1"/>
        <v>27000</v>
      </c>
      <c r="H30" s="11"/>
      <c r="I30" s="11"/>
      <c r="J30" s="14">
        <v>45979.0</v>
      </c>
      <c r="K30" s="15"/>
      <c r="L30" s="15" t="s">
        <v>76</v>
      </c>
      <c r="M30" s="15"/>
      <c r="N30" s="18" t="s">
        <v>41</v>
      </c>
      <c r="O30" s="12" t="s">
        <v>29</v>
      </c>
      <c r="P30" s="11" t="s">
        <v>77</v>
      </c>
      <c r="Q30" s="19">
        <f t="shared" si="23"/>
        <v>2</v>
      </c>
      <c r="R30" s="19">
        <f t="shared" si="25"/>
        <v>13500</v>
      </c>
      <c r="S30" s="19">
        <f t="shared" si="24"/>
        <v>27000</v>
      </c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</row>
    <row r="31" ht="18.75" customHeight="1">
      <c r="A31" s="9" t="s">
        <v>34</v>
      </c>
      <c r="B31" s="10">
        <v>4.57163131076E12</v>
      </c>
      <c r="C31" s="10" t="s">
        <v>81</v>
      </c>
      <c r="D31" s="11" t="s">
        <v>82</v>
      </c>
      <c r="E31" s="12">
        <v>10.0</v>
      </c>
      <c r="F31" s="12">
        <v>743.0</v>
      </c>
      <c r="G31" s="13">
        <f t="shared" si="1"/>
        <v>7430</v>
      </c>
      <c r="H31" s="11"/>
      <c r="I31" s="11"/>
      <c r="J31" s="14">
        <v>45973.0</v>
      </c>
      <c r="K31" s="15"/>
      <c r="L31" s="15" t="s">
        <v>76</v>
      </c>
      <c r="M31" s="15"/>
      <c r="N31" s="18" t="s">
        <v>83</v>
      </c>
      <c r="O31" s="12" t="s">
        <v>18</v>
      </c>
      <c r="P31" s="11" t="s">
        <v>84</v>
      </c>
      <c r="Q31" s="19">
        <f t="shared" si="23"/>
        <v>10</v>
      </c>
      <c r="R31" s="19">
        <f t="shared" si="25"/>
        <v>743</v>
      </c>
      <c r="S31" s="19">
        <f t="shared" si="24"/>
        <v>7430</v>
      </c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</row>
    <row r="32" ht="18.75" customHeight="1">
      <c r="A32" s="9" t="s">
        <v>34</v>
      </c>
      <c r="B32" s="10">
        <v>4.571631311378E12</v>
      </c>
      <c r="C32" s="10" t="s">
        <v>85</v>
      </c>
      <c r="D32" s="11" t="s">
        <v>86</v>
      </c>
      <c r="E32" s="12">
        <v>5.0</v>
      </c>
      <c r="F32" s="12">
        <v>1890.0</v>
      </c>
      <c r="G32" s="13">
        <f t="shared" si="1"/>
        <v>9450</v>
      </c>
      <c r="H32" s="11"/>
      <c r="I32" s="11"/>
      <c r="J32" s="14">
        <v>45979.0</v>
      </c>
      <c r="K32" s="15"/>
      <c r="L32" s="15" t="s">
        <v>76</v>
      </c>
      <c r="M32" s="15"/>
      <c r="N32" s="18" t="s">
        <v>78</v>
      </c>
      <c r="O32" s="12" t="s">
        <v>29</v>
      </c>
      <c r="P32" s="11" t="s">
        <v>87</v>
      </c>
      <c r="Q32" s="19">
        <f t="shared" si="23"/>
        <v>5</v>
      </c>
      <c r="R32" s="19">
        <f t="shared" si="25"/>
        <v>1890</v>
      </c>
      <c r="S32" s="19">
        <f t="shared" si="24"/>
        <v>9450</v>
      </c>
      <c r="T32" s="17">
        <v>13.8</v>
      </c>
      <c r="U32" s="17" t="s">
        <v>88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</row>
    <row r="33" ht="18.75" customHeight="1">
      <c r="A33" s="9" t="s">
        <v>34</v>
      </c>
      <c r="B33" s="10">
        <v>4.582616152657E12</v>
      </c>
      <c r="C33" s="10" t="s">
        <v>89</v>
      </c>
      <c r="D33" s="11" t="s">
        <v>90</v>
      </c>
      <c r="E33" s="12">
        <v>10.0</v>
      </c>
      <c r="F33" s="12">
        <v>743.0</v>
      </c>
      <c r="G33" s="13">
        <f t="shared" si="1"/>
        <v>7430</v>
      </c>
      <c r="H33" s="11"/>
      <c r="I33" s="11"/>
      <c r="J33" s="14">
        <v>45973.0</v>
      </c>
      <c r="K33" s="15"/>
      <c r="L33" s="15" t="s">
        <v>76</v>
      </c>
      <c r="M33" s="15"/>
      <c r="N33" s="18" t="s">
        <v>83</v>
      </c>
      <c r="O33" s="12" t="s">
        <v>18</v>
      </c>
      <c r="P33" s="11" t="s">
        <v>91</v>
      </c>
      <c r="Q33" s="19">
        <f t="shared" si="23"/>
        <v>10</v>
      </c>
      <c r="R33" s="19">
        <f t="shared" si="25"/>
        <v>743</v>
      </c>
      <c r="S33" s="19">
        <f t="shared" si="24"/>
        <v>7430</v>
      </c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</row>
    <row r="34" ht="18.75" customHeight="1">
      <c r="A34" s="9" t="s">
        <v>34</v>
      </c>
      <c r="B34" s="10">
        <v>4.58261615264E12</v>
      </c>
      <c r="C34" s="10" t="s">
        <v>92</v>
      </c>
      <c r="D34" s="11" t="s">
        <v>93</v>
      </c>
      <c r="E34" s="12">
        <v>10.0</v>
      </c>
      <c r="F34" s="12">
        <v>743.0</v>
      </c>
      <c r="G34" s="13">
        <f t="shared" si="1"/>
        <v>7430</v>
      </c>
      <c r="H34" s="11"/>
      <c r="I34" s="11"/>
      <c r="J34" s="14">
        <v>45973.0</v>
      </c>
      <c r="K34" s="15"/>
      <c r="L34" s="15" t="s">
        <v>76</v>
      </c>
      <c r="M34" s="15"/>
      <c r="N34" s="18" t="s">
        <v>83</v>
      </c>
      <c r="O34" s="12" t="s">
        <v>18</v>
      </c>
      <c r="P34" s="11" t="s">
        <v>94</v>
      </c>
      <c r="Q34" s="19">
        <f t="shared" si="23"/>
        <v>10</v>
      </c>
      <c r="R34" s="19">
        <f t="shared" si="25"/>
        <v>743</v>
      </c>
      <c r="S34" s="19">
        <f t="shared" si="24"/>
        <v>7430</v>
      </c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</row>
    <row r="35" ht="18.75" customHeight="1">
      <c r="A35" s="9" t="s">
        <v>34</v>
      </c>
      <c r="B35" s="10">
        <v>4.582616152633E12</v>
      </c>
      <c r="C35" s="10" t="s">
        <v>95</v>
      </c>
      <c r="D35" s="11" t="s">
        <v>96</v>
      </c>
      <c r="E35" s="12">
        <v>10.0</v>
      </c>
      <c r="F35" s="12">
        <v>743.0</v>
      </c>
      <c r="G35" s="13">
        <f t="shared" si="1"/>
        <v>7430</v>
      </c>
      <c r="H35" s="11"/>
      <c r="I35" s="11"/>
      <c r="J35" s="14">
        <v>45973.0</v>
      </c>
      <c r="K35" s="15"/>
      <c r="L35" s="15" t="s">
        <v>76</v>
      </c>
      <c r="M35" s="15"/>
      <c r="N35" s="18" t="s">
        <v>83</v>
      </c>
      <c r="O35" s="12" t="s">
        <v>18</v>
      </c>
      <c r="P35" s="11" t="s">
        <v>97</v>
      </c>
      <c r="Q35" s="19">
        <f t="shared" si="23"/>
        <v>10</v>
      </c>
      <c r="R35" s="19">
        <f t="shared" si="25"/>
        <v>743</v>
      </c>
      <c r="S35" s="19">
        <f t="shared" si="24"/>
        <v>7430</v>
      </c>
      <c r="T35" s="17">
        <v>12.6</v>
      </c>
      <c r="U35" s="17" t="s">
        <v>98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</row>
    <row r="36" ht="18.75" customHeight="1">
      <c r="A36" s="9" t="s">
        <v>34</v>
      </c>
      <c r="B36" s="10">
        <v>4.571631313686E12</v>
      </c>
      <c r="C36" s="10" t="s">
        <v>99</v>
      </c>
      <c r="D36" s="11" t="s">
        <v>100</v>
      </c>
      <c r="E36" s="12">
        <v>10.0</v>
      </c>
      <c r="F36" s="12">
        <v>1880.0</v>
      </c>
      <c r="G36" s="13">
        <f t="shared" si="1"/>
        <v>18800</v>
      </c>
      <c r="H36" s="11"/>
      <c r="I36" s="11"/>
      <c r="J36" s="14">
        <v>45979.0</v>
      </c>
      <c r="K36" s="15"/>
      <c r="L36" s="15" t="s">
        <v>76</v>
      </c>
      <c r="M36" s="15"/>
      <c r="N36" s="18" t="s">
        <v>38</v>
      </c>
      <c r="O36" s="12" t="s">
        <v>29</v>
      </c>
      <c r="P36" s="11" t="s">
        <v>100</v>
      </c>
      <c r="Q36" s="19">
        <f t="shared" si="23"/>
        <v>10</v>
      </c>
      <c r="R36" s="19">
        <f t="shared" si="25"/>
        <v>1880</v>
      </c>
      <c r="S36" s="19">
        <f t="shared" si="24"/>
        <v>18800</v>
      </c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</row>
    <row r="37" ht="18.75" customHeight="1">
      <c r="A37" s="9" t="s">
        <v>34</v>
      </c>
      <c r="B37" s="10">
        <v>4.58261615855E12</v>
      </c>
      <c r="C37" s="10" t="s">
        <v>101</v>
      </c>
      <c r="D37" s="11" t="s">
        <v>102</v>
      </c>
      <c r="E37" s="12">
        <v>10.0</v>
      </c>
      <c r="F37" s="12">
        <v>3000.0</v>
      </c>
      <c r="G37" s="13">
        <f t="shared" si="1"/>
        <v>30000</v>
      </c>
      <c r="H37" s="11"/>
      <c r="I37" s="11"/>
      <c r="J37" s="14">
        <v>45964.0</v>
      </c>
      <c r="K37" s="15"/>
      <c r="L37" s="15" t="s">
        <v>76</v>
      </c>
      <c r="M37" s="15"/>
      <c r="N37" s="18" t="s">
        <v>103</v>
      </c>
      <c r="O37" s="12" t="s">
        <v>29</v>
      </c>
      <c r="P37" s="11" t="s">
        <v>104</v>
      </c>
      <c r="Q37" s="19">
        <f t="shared" si="23"/>
        <v>10</v>
      </c>
      <c r="R37" s="19">
        <f t="shared" si="25"/>
        <v>3000</v>
      </c>
      <c r="S37" s="19">
        <f t="shared" si="24"/>
        <v>30000</v>
      </c>
      <c r="T37" s="17">
        <v>24.5</v>
      </c>
      <c r="U37" s="17" t="s">
        <v>40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</row>
    <row r="38" ht="18.75" customHeight="1">
      <c r="A38" s="9" t="s">
        <v>105</v>
      </c>
      <c r="B38" s="10">
        <v>4.58261615855E12</v>
      </c>
      <c r="C38" s="10" t="s">
        <v>101</v>
      </c>
      <c r="D38" s="11" t="s">
        <v>102</v>
      </c>
      <c r="E38" s="12">
        <v>4.0</v>
      </c>
      <c r="F38" s="12">
        <v>3000.0</v>
      </c>
      <c r="G38" s="13">
        <f t="shared" si="1"/>
        <v>12000</v>
      </c>
      <c r="H38" s="11"/>
      <c r="I38" s="11"/>
      <c r="J38" s="14">
        <v>45972.0</v>
      </c>
      <c r="K38" s="15"/>
      <c r="L38" s="15" t="s">
        <v>76</v>
      </c>
      <c r="M38" s="15"/>
      <c r="N38" s="18" t="s">
        <v>103</v>
      </c>
      <c r="O38" s="12" t="s">
        <v>29</v>
      </c>
      <c r="P38" s="11" t="s">
        <v>104</v>
      </c>
      <c r="Q38" s="19">
        <f t="shared" si="23"/>
        <v>4</v>
      </c>
      <c r="R38" s="19">
        <f t="shared" si="25"/>
        <v>3000</v>
      </c>
      <c r="S38" s="19">
        <f t="shared" si="24"/>
        <v>12000</v>
      </c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</row>
    <row r="39" ht="18.75" customHeight="1">
      <c r="A39" s="9" t="s">
        <v>105</v>
      </c>
      <c r="B39" s="10">
        <v>4.58261615855E12</v>
      </c>
      <c r="C39" s="10" t="s">
        <v>101</v>
      </c>
      <c r="D39" s="11" t="s">
        <v>102</v>
      </c>
      <c r="E39" s="12">
        <v>6.0</v>
      </c>
      <c r="F39" s="12">
        <v>3000.0</v>
      </c>
      <c r="G39" s="13">
        <f t="shared" si="1"/>
        <v>18000</v>
      </c>
      <c r="H39" s="11"/>
      <c r="I39" s="11"/>
      <c r="J39" s="14">
        <v>45972.0</v>
      </c>
      <c r="K39" s="15"/>
      <c r="L39" s="15" t="s">
        <v>76</v>
      </c>
      <c r="M39" s="15"/>
      <c r="N39" s="18" t="s">
        <v>68</v>
      </c>
      <c r="O39" s="12" t="s">
        <v>29</v>
      </c>
      <c r="P39" s="11" t="s">
        <v>104</v>
      </c>
      <c r="Q39" s="19">
        <f t="shared" si="23"/>
        <v>6</v>
      </c>
      <c r="R39" s="19">
        <f t="shared" si="25"/>
        <v>3000</v>
      </c>
      <c r="S39" s="19">
        <f t="shared" si="24"/>
        <v>18000</v>
      </c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</row>
    <row r="40" ht="18.75" customHeight="1">
      <c r="A40" s="9" t="s">
        <v>48</v>
      </c>
      <c r="B40" s="10">
        <v>4.582616133229E12</v>
      </c>
      <c r="C40" s="10" t="s">
        <v>106</v>
      </c>
      <c r="D40" s="11" t="s">
        <v>107</v>
      </c>
      <c r="E40" s="12">
        <v>2.0</v>
      </c>
      <c r="F40" s="12">
        <v>2680.0</v>
      </c>
      <c r="G40" s="13">
        <f t="shared" si="1"/>
        <v>5360</v>
      </c>
      <c r="H40" s="11"/>
      <c r="I40" s="11" t="s">
        <v>108</v>
      </c>
      <c r="J40" s="14">
        <v>45978.0</v>
      </c>
      <c r="K40" s="15"/>
      <c r="L40" s="15" t="s">
        <v>109</v>
      </c>
      <c r="M40" s="15"/>
      <c r="N40" s="18" t="s">
        <v>110</v>
      </c>
      <c r="O40" s="12" t="s">
        <v>29</v>
      </c>
      <c r="P40" s="11" t="s">
        <v>107</v>
      </c>
      <c r="Q40" s="19">
        <f t="shared" si="23"/>
        <v>2</v>
      </c>
      <c r="R40" s="19">
        <f t="shared" si="25"/>
        <v>2680</v>
      </c>
      <c r="S40" s="19">
        <f t="shared" si="24"/>
        <v>5360</v>
      </c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</row>
    <row r="41" ht="18.75" customHeight="1">
      <c r="A41" s="9" t="s">
        <v>48</v>
      </c>
      <c r="B41" s="10">
        <v>4.582616133229E12</v>
      </c>
      <c r="C41" s="10" t="s">
        <v>106</v>
      </c>
      <c r="D41" s="11" t="s">
        <v>107</v>
      </c>
      <c r="E41" s="12">
        <v>3.0</v>
      </c>
      <c r="F41" s="12">
        <v>2680.0</v>
      </c>
      <c r="G41" s="13">
        <f t="shared" si="1"/>
        <v>8040</v>
      </c>
      <c r="H41" s="11"/>
      <c r="I41" s="11" t="s">
        <v>108</v>
      </c>
      <c r="J41" s="14">
        <v>45978.0</v>
      </c>
      <c r="K41" s="15"/>
      <c r="L41" s="15" t="s">
        <v>109</v>
      </c>
      <c r="M41" s="15"/>
      <c r="N41" s="18" t="s">
        <v>111</v>
      </c>
      <c r="O41" s="12" t="s">
        <v>29</v>
      </c>
      <c r="P41" s="11" t="s">
        <v>107</v>
      </c>
      <c r="Q41" s="19">
        <f t="shared" si="23"/>
        <v>3</v>
      </c>
      <c r="R41" s="19">
        <f t="shared" si="25"/>
        <v>2680</v>
      </c>
      <c r="S41" s="19">
        <f t="shared" si="24"/>
        <v>8040</v>
      </c>
      <c r="T41" s="17">
        <v>16.5</v>
      </c>
      <c r="U41" s="17" t="s">
        <v>112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</row>
    <row r="42" ht="18.75" customHeight="1">
      <c r="A42" s="9" t="s">
        <v>48</v>
      </c>
      <c r="B42" s="10">
        <v>4.582593592286E12</v>
      </c>
      <c r="C42" s="10" t="s">
        <v>113</v>
      </c>
      <c r="D42" s="11" t="s">
        <v>114</v>
      </c>
      <c r="E42" s="12">
        <v>100.0</v>
      </c>
      <c r="F42" s="12">
        <v>680.0</v>
      </c>
      <c r="G42" s="13">
        <f t="shared" si="1"/>
        <v>68000</v>
      </c>
      <c r="H42" s="11"/>
      <c r="I42" s="11" t="s">
        <v>115</v>
      </c>
      <c r="J42" s="14">
        <v>45975.0</v>
      </c>
      <c r="K42" s="15"/>
      <c r="L42" s="15" t="s">
        <v>109</v>
      </c>
      <c r="M42" s="15"/>
      <c r="N42" s="18" t="s">
        <v>116</v>
      </c>
      <c r="O42" s="12" t="s">
        <v>18</v>
      </c>
      <c r="P42" s="11" t="s">
        <v>114</v>
      </c>
      <c r="Q42" s="19">
        <f t="shared" si="23"/>
        <v>100</v>
      </c>
      <c r="R42" s="19">
        <f t="shared" si="25"/>
        <v>680</v>
      </c>
      <c r="S42" s="19">
        <f t="shared" si="24"/>
        <v>68000</v>
      </c>
      <c r="T42" s="17">
        <v>18.8</v>
      </c>
      <c r="U42" s="17" t="s">
        <v>117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</row>
    <row r="43" ht="18.75" customHeight="1">
      <c r="A43" s="9" t="s">
        <v>34</v>
      </c>
      <c r="B43" s="10">
        <v>4.580279017344E12</v>
      </c>
      <c r="C43" s="10" t="s">
        <v>118</v>
      </c>
      <c r="D43" s="11" t="s">
        <v>119</v>
      </c>
      <c r="E43" s="12">
        <v>20.0</v>
      </c>
      <c r="F43" s="12">
        <v>270.0</v>
      </c>
      <c r="G43" s="13">
        <f t="shared" si="1"/>
        <v>5400</v>
      </c>
      <c r="H43" s="11"/>
      <c r="I43" s="11" t="s">
        <v>120</v>
      </c>
      <c r="J43" s="14">
        <v>45975.0</v>
      </c>
      <c r="K43" s="15"/>
      <c r="L43" s="15" t="s">
        <v>121</v>
      </c>
      <c r="M43" s="15"/>
      <c r="N43" s="18" t="s">
        <v>55</v>
      </c>
      <c r="O43" s="12" t="s">
        <v>29</v>
      </c>
      <c r="P43" s="11" t="s">
        <v>122</v>
      </c>
      <c r="Q43" s="19">
        <f t="shared" si="23"/>
        <v>20</v>
      </c>
      <c r="R43" s="19">
        <f t="shared" si="25"/>
        <v>270</v>
      </c>
      <c r="S43" s="19">
        <f t="shared" si="24"/>
        <v>5400</v>
      </c>
      <c r="T43" s="17">
        <v>10.8</v>
      </c>
      <c r="U43" s="17" t="s">
        <v>117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</row>
    <row r="44" ht="18.75" customHeight="1">
      <c r="A44" s="9" t="s">
        <v>34</v>
      </c>
      <c r="B44" s="10">
        <v>4.580279016156E12</v>
      </c>
      <c r="C44" s="10" t="s">
        <v>123</v>
      </c>
      <c r="D44" s="11" t="s">
        <v>124</v>
      </c>
      <c r="E44" s="12">
        <v>10.0</v>
      </c>
      <c r="F44" s="12">
        <v>4330.0</v>
      </c>
      <c r="G44" s="13">
        <f t="shared" si="1"/>
        <v>43300</v>
      </c>
      <c r="H44" s="11"/>
      <c r="I44" s="11" t="s">
        <v>125</v>
      </c>
      <c r="J44" s="14">
        <v>45978.0</v>
      </c>
      <c r="K44" s="15"/>
      <c r="L44" s="15" t="s">
        <v>126</v>
      </c>
      <c r="M44" s="15"/>
      <c r="N44" s="18" t="s">
        <v>127</v>
      </c>
      <c r="O44" s="12" t="s">
        <v>29</v>
      </c>
      <c r="P44" s="11" t="s">
        <v>128</v>
      </c>
      <c r="Q44" s="19">
        <f t="shared" si="23"/>
        <v>10</v>
      </c>
      <c r="R44" s="19">
        <f t="shared" si="25"/>
        <v>4330</v>
      </c>
      <c r="S44" s="19">
        <f t="shared" si="24"/>
        <v>43300</v>
      </c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</row>
    <row r="45" ht="18.75" customHeight="1">
      <c r="A45" s="9" t="s">
        <v>34</v>
      </c>
      <c r="B45" s="10">
        <v>4.582593588548E12</v>
      </c>
      <c r="C45" s="10" t="s">
        <v>129</v>
      </c>
      <c r="D45" s="11" t="s">
        <v>130</v>
      </c>
      <c r="E45" s="12">
        <v>2.0</v>
      </c>
      <c r="F45" s="12">
        <v>14700.0</v>
      </c>
      <c r="G45" s="13">
        <f t="shared" si="1"/>
        <v>29400</v>
      </c>
      <c r="H45" s="11"/>
      <c r="I45" s="11" t="s">
        <v>131</v>
      </c>
      <c r="J45" s="14">
        <v>45967.0</v>
      </c>
      <c r="K45" s="15"/>
      <c r="L45" s="15" t="s">
        <v>126</v>
      </c>
      <c r="M45" s="15"/>
      <c r="N45" s="18" t="s">
        <v>103</v>
      </c>
      <c r="O45" s="12" t="s">
        <v>29</v>
      </c>
      <c r="P45" s="11" t="s">
        <v>132</v>
      </c>
      <c r="Q45" s="19">
        <f t="shared" si="23"/>
        <v>2</v>
      </c>
      <c r="R45" s="19">
        <f t="shared" si="25"/>
        <v>14700</v>
      </c>
      <c r="S45" s="19">
        <f t="shared" si="24"/>
        <v>29400</v>
      </c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</row>
    <row r="46" ht="18.75" customHeight="1">
      <c r="A46" s="9" t="s">
        <v>34</v>
      </c>
      <c r="B46" s="10">
        <v>4.582593581365E12</v>
      </c>
      <c r="C46" s="10" t="s">
        <v>133</v>
      </c>
      <c r="D46" s="11" t="s">
        <v>134</v>
      </c>
      <c r="E46" s="12">
        <v>1.0</v>
      </c>
      <c r="F46" s="12">
        <v>34980.0</v>
      </c>
      <c r="G46" s="13">
        <f t="shared" si="1"/>
        <v>34980</v>
      </c>
      <c r="H46" s="11"/>
      <c r="I46" s="11" t="s">
        <v>135</v>
      </c>
      <c r="J46" s="14">
        <v>45968.0</v>
      </c>
      <c r="K46" s="15"/>
      <c r="L46" s="15" t="s">
        <v>126</v>
      </c>
      <c r="M46" s="15"/>
      <c r="N46" s="18" t="s">
        <v>136</v>
      </c>
      <c r="O46" s="12" t="s">
        <v>29</v>
      </c>
      <c r="P46" s="11" t="s">
        <v>137</v>
      </c>
      <c r="Q46" s="19">
        <f t="shared" si="23"/>
        <v>1</v>
      </c>
      <c r="R46" s="19">
        <f t="shared" si="25"/>
        <v>34980</v>
      </c>
      <c r="S46" s="19">
        <f t="shared" si="24"/>
        <v>34980</v>
      </c>
      <c r="T46" s="17">
        <v>18.9</v>
      </c>
      <c r="U46" s="17" t="s">
        <v>138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</row>
    <row r="47" ht="18.75" customHeight="1">
      <c r="A47" s="9" t="s">
        <v>105</v>
      </c>
      <c r="B47" s="10">
        <v>4.573423125811E12</v>
      </c>
      <c r="C47" s="10" t="s">
        <v>139</v>
      </c>
      <c r="D47" s="11" t="s">
        <v>140</v>
      </c>
      <c r="E47" s="12">
        <v>4.0</v>
      </c>
      <c r="F47" s="12">
        <v>1320.0</v>
      </c>
      <c r="G47" s="13">
        <f t="shared" si="1"/>
        <v>5280</v>
      </c>
      <c r="H47" s="11"/>
      <c r="I47" s="11" t="s">
        <v>141</v>
      </c>
      <c r="J47" s="14">
        <v>45972.0</v>
      </c>
      <c r="K47" s="15"/>
      <c r="L47" s="15" t="s">
        <v>126</v>
      </c>
      <c r="M47" s="15"/>
      <c r="N47" s="18"/>
      <c r="O47" s="12"/>
      <c r="P47" s="11"/>
      <c r="Q47" s="19"/>
      <c r="R47" s="19"/>
      <c r="S47" s="19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</row>
    <row r="48" ht="18.75" customHeight="1">
      <c r="A48" s="9" t="s">
        <v>42</v>
      </c>
      <c r="B48" s="10">
        <v>4.580490000385E12</v>
      </c>
      <c r="C48" s="10" t="s">
        <v>142</v>
      </c>
      <c r="D48" s="11" t="s">
        <v>143</v>
      </c>
      <c r="E48" s="12">
        <v>2.0</v>
      </c>
      <c r="F48" s="12">
        <v>1370.0</v>
      </c>
      <c r="G48" s="13">
        <f t="shared" si="1"/>
        <v>2740</v>
      </c>
      <c r="H48" s="11"/>
      <c r="I48" s="11"/>
      <c r="J48" s="14">
        <v>45973.0</v>
      </c>
      <c r="K48" s="15"/>
      <c r="L48" s="15" t="s">
        <v>144</v>
      </c>
      <c r="M48" s="15"/>
      <c r="N48" s="18" t="s">
        <v>60</v>
      </c>
      <c r="O48" s="12" t="s">
        <v>29</v>
      </c>
      <c r="P48" s="11" t="s">
        <v>145</v>
      </c>
      <c r="Q48" s="19">
        <f t="shared" ref="Q48:R48" si="26">E48</f>
        <v>2</v>
      </c>
      <c r="R48" s="19">
        <f t="shared" si="26"/>
        <v>1370</v>
      </c>
      <c r="S48" s="19">
        <f t="shared" ref="S48:S64" si="28">R48*Q48</f>
        <v>2740</v>
      </c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</row>
    <row r="49" ht="18.75" customHeight="1">
      <c r="A49" s="9" t="s">
        <v>48</v>
      </c>
      <c r="B49" s="10">
        <v>4.580490000309E12</v>
      </c>
      <c r="C49" s="10" t="s">
        <v>146</v>
      </c>
      <c r="D49" s="11" t="s">
        <v>147</v>
      </c>
      <c r="E49" s="12">
        <v>30.0</v>
      </c>
      <c r="F49" s="12">
        <v>1270.0</v>
      </c>
      <c r="G49" s="13">
        <f t="shared" si="1"/>
        <v>38100</v>
      </c>
      <c r="H49" s="11"/>
      <c r="I49" s="11"/>
      <c r="J49" s="14">
        <v>45975.0</v>
      </c>
      <c r="K49" s="15"/>
      <c r="L49" s="15" t="s">
        <v>144</v>
      </c>
      <c r="M49" s="15"/>
      <c r="N49" s="18" t="s">
        <v>51</v>
      </c>
      <c r="O49" s="12" t="s">
        <v>29</v>
      </c>
      <c r="P49" s="11" t="s">
        <v>148</v>
      </c>
      <c r="Q49" s="19">
        <f t="shared" ref="Q49:R49" si="27">E49</f>
        <v>30</v>
      </c>
      <c r="R49" s="19">
        <f t="shared" si="27"/>
        <v>1270</v>
      </c>
      <c r="S49" s="19">
        <f t="shared" si="28"/>
        <v>38100</v>
      </c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</row>
    <row r="50" ht="18.75" customHeight="1">
      <c r="A50" s="9" t="s">
        <v>13</v>
      </c>
      <c r="B50" s="10">
        <v>4.582236080132E12</v>
      </c>
      <c r="C50" s="10" t="s">
        <v>149</v>
      </c>
      <c r="D50" s="11" t="s">
        <v>150</v>
      </c>
      <c r="E50" s="12">
        <v>3.0</v>
      </c>
      <c r="F50" s="12">
        <v>1323.0</v>
      </c>
      <c r="G50" s="13">
        <f t="shared" si="1"/>
        <v>3969</v>
      </c>
      <c r="H50" s="11"/>
      <c r="I50" s="11"/>
      <c r="J50" s="14">
        <v>45972.0</v>
      </c>
      <c r="K50" s="15"/>
      <c r="L50" s="15" t="s">
        <v>151</v>
      </c>
      <c r="M50" s="15"/>
      <c r="N50" s="18" t="s">
        <v>152</v>
      </c>
      <c r="O50" s="12" t="s">
        <v>29</v>
      </c>
      <c r="P50" s="11" t="s">
        <v>153</v>
      </c>
      <c r="Q50" s="19">
        <f t="shared" ref="Q50:R50" si="29">E50</f>
        <v>3</v>
      </c>
      <c r="R50" s="19">
        <f t="shared" si="29"/>
        <v>1323</v>
      </c>
      <c r="S50" s="19">
        <f t="shared" si="28"/>
        <v>3969</v>
      </c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</row>
    <row r="51" ht="18.75" customHeight="1">
      <c r="A51" s="9" t="s">
        <v>13</v>
      </c>
      <c r="B51" s="10">
        <v>4.573432998123E12</v>
      </c>
      <c r="C51" s="10" t="s">
        <v>154</v>
      </c>
      <c r="D51" s="11" t="s">
        <v>155</v>
      </c>
      <c r="E51" s="12">
        <v>5.0</v>
      </c>
      <c r="F51" s="12">
        <v>1103.0</v>
      </c>
      <c r="G51" s="13">
        <f t="shared" si="1"/>
        <v>5515</v>
      </c>
      <c r="H51" s="11"/>
      <c r="I51" s="11"/>
      <c r="J51" s="14">
        <v>45972.0</v>
      </c>
      <c r="K51" s="15"/>
      <c r="L51" s="15" t="s">
        <v>151</v>
      </c>
      <c r="M51" s="15"/>
      <c r="N51" s="18" t="s">
        <v>152</v>
      </c>
      <c r="O51" s="12" t="s">
        <v>29</v>
      </c>
      <c r="P51" s="11" t="s">
        <v>156</v>
      </c>
      <c r="Q51" s="19">
        <f t="shared" ref="Q51:R51" si="30">E51</f>
        <v>5</v>
      </c>
      <c r="R51" s="19">
        <f t="shared" si="30"/>
        <v>1103</v>
      </c>
      <c r="S51" s="19">
        <f t="shared" si="28"/>
        <v>5515</v>
      </c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</row>
    <row r="52" ht="18.75" customHeight="1">
      <c r="A52" s="9" t="s">
        <v>13</v>
      </c>
      <c r="B52" s="10">
        <v>4.573432997478E12</v>
      </c>
      <c r="C52" s="10" t="s">
        <v>157</v>
      </c>
      <c r="D52" s="11" t="s">
        <v>158</v>
      </c>
      <c r="E52" s="12">
        <v>3.0</v>
      </c>
      <c r="F52" s="12">
        <v>1632.0</v>
      </c>
      <c r="G52" s="13">
        <f t="shared" si="1"/>
        <v>4896</v>
      </c>
      <c r="H52" s="11"/>
      <c r="I52" s="11"/>
      <c r="J52" s="14">
        <v>45972.0</v>
      </c>
      <c r="K52" s="15"/>
      <c r="L52" s="15" t="s">
        <v>151</v>
      </c>
      <c r="M52" s="15"/>
      <c r="N52" s="18" t="s">
        <v>152</v>
      </c>
      <c r="O52" s="12" t="s">
        <v>29</v>
      </c>
      <c r="P52" s="11" t="s">
        <v>159</v>
      </c>
      <c r="Q52" s="19">
        <f t="shared" ref="Q52:R52" si="31">E52</f>
        <v>3</v>
      </c>
      <c r="R52" s="19">
        <f t="shared" si="31"/>
        <v>1632</v>
      </c>
      <c r="S52" s="19">
        <f t="shared" si="28"/>
        <v>4896</v>
      </c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</row>
    <row r="53" ht="18.75" customHeight="1">
      <c r="A53" s="9" t="s">
        <v>34</v>
      </c>
      <c r="B53" s="10">
        <v>4.582474866178E12</v>
      </c>
      <c r="C53" s="10" t="s">
        <v>160</v>
      </c>
      <c r="D53" s="11" t="s">
        <v>161</v>
      </c>
      <c r="E53" s="12">
        <v>1.0</v>
      </c>
      <c r="F53" s="12">
        <v>7084.0</v>
      </c>
      <c r="G53" s="13">
        <f t="shared" si="1"/>
        <v>7084</v>
      </c>
      <c r="H53" s="11"/>
      <c r="I53" s="11"/>
      <c r="J53" s="14">
        <v>45975.0</v>
      </c>
      <c r="K53" s="15"/>
      <c r="L53" s="15" t="s">
        <v>162</v>
      </c>
      <c r="M53" s="15"/>
      <c r="N53" s="18" t="s">
        <v>127</v>
      </c>
      <c r="O53" s="12" t="s">
        <v>29</v>
      </c>
      <c r="P53" s="11" t="s">
        <v>163</v>
      </c>
      <c r="Q53" s="19">
        <f t="shared" ref="Q53:R53" si="32">E53</f>
        <v>1</v>
      </c>
      <c r="R53" s="19">
        <f t="shared" si="32"/>
        <v>7084</v>
      </c>
      <c r="S53" s="19">
        <f t="shared" si="28"/>
        <v>7084</v>
      </c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</row>
    <row r="54" ht="18.75" customHeight="1">
      <c r="A54" s="9" t="s">
        <v>34</v>
      </c>
      <c r="B54" s="10">
        <v>4.589717877373E12</v>
      </c>
      <c r="C54" s="10" t="s">
        <v>164</v>
      </c>
      <c r="D54" s="11" t="s">
        <v>165</v>
      </c>
      <c r="E54" s="12">
        <v>6.0</v>
      </c>
      <c r="F54" s="12">
        <v>992.0</v>
      </c>
      <c r="G54" s="13">
        <f t="shared" si="1"/>
        <v>5952</v>
      </c>
      <c r="H54" s="11"/>
      <c r="I54" s="11"/>
      <c r="J54" s="14">
        <v>45971.0</v>
      </c>
      <c r="K54" s="15"/>
      <c r="L54" s="15" t="s">
        <v>166</v>
      </c>
      <c r="M54" s="15"/>
      <c r="N54" s="18" t="s">
        <v>167</v>
      </c>
      <c r="O54" s="12" t="s">
        <v>18</v>
      </c>
      <c r="P54" s="11" t="s">
        <v>168</v>
      </c>
      <c r="Q54" s="19">
        <f t="shared" ref="Q54:R54" si="33">E54</f>
        <v>6</v>
      </c>
      <c r="R54" s="19">
        <f t="shared" si="33"/>
        <v>992</v>
      </c>
      <c r="S54" s="19">
        <f t="shared" si="28"/>
        <v>5952</v>
      </c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</row>
    <row r="55" ht="18.75" customHeight="1">
      <c r="A55" s="9" t="s">
        <v>34</v>
      </c>
      <c r="B55" s="10">
        <v>4.589717877106E12</v>
      </c>
      <c r="C55" s="10" t="s">
        <v>169</v>
      </c>
      <c r="D55" s="11" t="s">
        <v>170</v>
      </c>
      <c r="E55" s="12">
        <v>10.0</v>
      </c>
      <c r="F55" s="12">
        <v>662.0</v>
      </c>
      <c r="G55" s="13">
        <f t="shared" si="1"/>
        <v>6620</v>
      </c>
      <c r="H55" s="11"/>
      <c r="I55" s="11"/>
      <c r="J55" s="14">
        <v>45964.0</v>
      </c>
      <c r="K55" s="15"/>
      <c r="L55" s="15" t="s">
        <v>166</v>
      </c>
      <c r="M55" s="15"/>
      <c r="N55" s="18" t="s">
        <v>171</v>
      </c>
      <c r="O55" s="12" t="s">
        <v>18</v>
      </c>
      <c r="P55" s="11" t="s">
        <v>172</v>
      </c>
      <c r="Q55" s="19">
        <f t="shared" ref="Q55:R55" si="34">E55</f>
        <v>10</v>
      </c>
      <c r="R55" s="19">
        <f t="shared" si="34"/>
        <v>662</v>
      </c>
      <c r="S55" s="19">
        <f t="shared" si="28"/>
        <v>6620</v>
      </c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</row>
    <row r="56" ht="18.75" customHeight="1">
      <c r="A56" s="9" t="s">
        <v>44</v>
      </c>
      <c r="B56" s="10">
        <v>4.589717875751E12</v>
      </c>
      <c r="C56" s="10" t="s">
        <v>173</v>
      </c>
      <c r="D56" s="19" t="s">
        <v>174</v>
      </c>
      <c r="E56" s="12">
        <v>10.0</v>
      </c>
      <c r="F56" s="12">
        <v>1764.0</v>
      </c>
      <c r="G56" s="13">
        <f t="shared" si="1"/>
        <v>17640</v>
      </c>
      <c r="H56" s="11"/>
      <c r="I56" s="11"/>
      <c r="J56" s="14">
        <v>45964.0</v>
      </c>
      <c r="K56" s="15"/>
      <c r="L56" s="15" t="s">
        <v>166</v>
      </c>
      <c r="M56" s="15"/>
      <c r="N56" s="18" t="s">
        <v>175</v>
      </c>
      <c r="O56" s="12" t="s">
        <v>29</v>
      </c>
      <c r="P56" s="11" t="s">
        <v>174</v>
      </c>
      <c r="Q56" s="19">
        <f t="shared" ref="Q56:R56" si="35">E56</f>
        <v>10</v>
      </c>
      <c r="R56" s="19">
        <f t="shared" si="35"/>
        <v>1764</v>
      </c>
      <c r="S56" s="19">
        <f t="shared" si="28"/>
        <v>17640</v>
      </c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</row>
    <row r="57" ht="18.75" customHeight="1">
      <c r="A57" s="9" t="s">
        <v>34</v>
      </c>
      <c r="B57" s="10">
        <v>4.589717873979E12</v>
      </c>
      <c r="C57" s="10" t="s">
        <v>176</v>
      </c>
      <c r="D57" s="11" t="s">
        <v>177</v>
      </c>
      <c r="E57" s="12">
        <v>10.0</v>
      </c>
      <c r="F57" s="12">
        <v>2095.0</v>
      </c>
      <c r="G57" s="13">
        <f t="shared" si="1"/>
        <v>20950</v>
      </c>
      <c r="H57" s="11"/>
      <c r="I57" s="11"/>
      <c r="J57" s="14">
        <v>45974.0</v>
      </c>
      <c r="K57" s="15"/>
      <c r="L57" s="15" t="s">
        <v>166</v>
      </c>
      <c r="M57" s="15"/>
      <c r="N57" s="18" t="s">
        <v>178</v>
      </c>
      <c r="O57" s="12" t="s">
        <v>29</v>
      </c>
      <c r="P57" s="11" t="s">
        <v>179</v>
      </c>
      <c r="Q57" s="19">
        <f t="shared" ref="Q57:R57" si="36">E57</f>
        <v>10</v>
      </c>
      <c r="R57" s="19">
        <f t="shared" si="36"/>
        <v>2095</v>
      </c>
      <c r="S57" s="19">
        <f t="shared" si="28"/>
        <v>20950</v>
      </c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</row>
    <row r="58" ht="18.75" customHeight="1">
      <c r="A58" s="9" t="s">
        <v>105</v>
      </c>
      <c r="B58" s="10">
        <v>4.589717869385E12</v>
      </c>
      <c r="C58" s="10" t="s">
        <v>180</v>
      </c>
      <c r="D58" s="11" t="s">
        <v>181</v>
      </c>
      <c r="E58" s="12">
        <v>4.0</v>
      </c>
      <c r="F58" s="12">
        <v>1654.0</v>
      </c>
      <c r="G58" s="13">
        <f t="shared" si="1"/>
        <v>6616</v>
      </c>
      <c r="H58" s="11"/>
      <c r="I58" s="11"/>
      <c r="J58" s="14">
        <v>45972.0</v>
      </c>
      <c r="K58" s="15"/>
      <c r="L58" s="15" t="s">
        <v>166</v>
      </c>
      <c r="M58" s="15"/>
      <c r="N58" s="18" t="s">
        <v>167</v>
      </c>
      <c r="O58" s="12" t="s">
        <v>29</v>
      </c>
      <c r="P58" s="11" t="s">
        <v>182</v>
      </c>
      <c r="Q58" s="19">
        <f t="shared" ref="Q58:R58" si="37">E58</f>
        <v>4</v>
      </c>
      <c r="R58" s="19">
        <f t="shared" si="37"/>
        <v>1654</v>
      </c>
      <c r="S58" s="19">
        <f t="shared" si="28"/>
        <v>6616</v>
      </c>
      <c r="T58" s="17">
        <v>11.5</v>
      </c>
      <c r="U58" s="17" t="s">
        <v>117</v>
      </c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</row>
    <row r="59" ht="18.75" customHeight="1">
      <c r="A59" s="9" t="s">
        <v>34</v>
      </c>
      <c r="B59" s="10">
        <v>4.589717865691E12</v>
      </c>
      <c r="C59" s="10" t="s">
        <v>183</v>
      </c>
      <c r="D59" s="11" t="s">
        <v>184</v>
      </c>
      <c r="E59" s="12">
        <v>6.0</v>
      </c>
      <c r="F59" s="12">
        <v>772.0</v>
      </c>
      <c r="G59" s="13">
        <f t="shared" si="1"/>
        <v>4632</v>
      </c>
      <c r="H59" s="11"/>
      <c r="I59" s="11"/>
      <c r="J59" s="14">
        <v>45971.0</v>
      </c>
      <c r="K59" s="15"/>
      <c r="L59" s="15" t="s">
        <v>166</v>
      </c>
      <c r="M59" s="15"/>
      <c r="N59" s="18" t="s">
        <v>167</v>
      </c>
      <c r="O59" s="12" t="s">
        <v>18</v>
      </c>
      <c r="P59" s="11" t="s">
        <v>185</v>
      </c>
      <c r="Q59" s="19">
        <f t="shared" ref="Q59:R59" si="38">E59</f>
        <v>6</v>
      </c>
      <c r="R59" s="19">
        <f t="shared" si="38"/>
        <v>772</v>
      </c>
      <c r="S59" s="19">
        <f t="shared" si="28"/>
        <v>4632</v>
      </c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</row>
    <row r="60" ht="18.75" customHeight="1">
      <c r="A60" s="9" t="s">
        <v>34</v>
      </c>
      <c r="B60" s="10">
        <v>4.589717865417E12</v>
      </c>
      <c r="C60" s="10" t="s">
        <v>186</v>
      </c>
      <c r="D60" s="11" t="s">
        <v>187</v>
      </c>
      <c r="E60" s="12">
        <v>6.0</v>
      </c>
      <c r="F60" s="12">
        <v>772.0</v>
      </c>
      <c r="G60" s="13">
        <f t="shared" si="1"/>
        <v>4632</v>
      </c>
      <c r="H60" s="11"/>
      <c r="I60" s="11"/>
      <c r="J60" s="14">
        <v>45971.0</v>
      </c>
      <c r="K60" s="15"/>
      <c r="L60" s="15" t="s">
        <v>166</v>
      </c>
      <c r="M60" s="15"/>
      <c r="N60" s="18" t="s">
        <v>167</v>
      </c>
      <c r="O60" s="12" t="s">
        <v>18</v>
      </c>
      <c r="P60" s="11" t="s">
        <v>188</v>
      </c>
      <c r="Q60" s="19">
        <f t="shared" ref="Q60:R60" si="39">E60</f>
        <v>6</v>
      </c>
      <c r="R60" s="19">
        <f t="shared" si="39"/>
        <v>772</v>
      </c>
      <c r="S60" s="19">
        <f t="shared" si="28"/>
        <v>4632</v>
      </c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</row>
    <row r="61" ht="18.75" customHeight="1">
      <c r="A61" s="9" t="s">
        <v>44</v>
      </c>
      <c r="B61" s="10">
        <v>4.589717876932E12</v>
      </c>
      <c r="C61" s="10" t="s">
        <v>189</v>
      </c>
      <c r="D61" s="11" t="s">
        <v>190</v>
      </c>
      <c r="E61" s="12">
        <v>10.0</v>
      </c>
      <c r="F61" s="12">
        <v>2977.0</v>
      </c>
      <c r="G61" s="13">
        <f t="shared" si="1"/>
        <v>29770</v>
      </c>
      <c r="H61" s="11"/>
      <c r="I61" s="11"/>
      <c r="J61" s="14">
        <v>45964.0</v>
      </c>
      <c r="K61" s="15"/>
      <c r="L61" s="15" t="s">
        <v>166</v>
      </c>
      <c r="M61" s="15"/>
      <c r="N61" s="18" t="s">
        <v>191</v>
      </c>
      <c r="O61" s="12" t="s">
        <v>29</v>
      </c>
      <c r="P61" s="11" t="s">
        <v>192</v>
      </c>
      <c r="Q61" s="19">
        <f t="shared" ref="Q61:R61" si="40">E61</f>
        <v>10</v>
      </c>
      <c r="R61" s="19">
        <f t="shared" si="40"/>
        <v>2977</v>
      </c>
      <c r="S61" s="19">
        <f t="shared" si="28"/>
        <v>29770</v>
      </c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</row>
    <row r="62" ht="18.75" customHeight="1">
      <c r="A62" s="9" t="s">
        <v>44</v>
      </c>
      <c r="B62" s="10">
        <v>4.589717872132E12</v>
      </c>
      <c r="C62" s="10" t="s">
        <v>193</v>
      </c>
      <c r="D62" s="11" t="s">
        <v>194</v>
      </c>
      <c r="E62" s="12">
        <v>5.0</v>
      </c>
      <c r="F62" s="12">
        <v>2315.0</v>
      </c>
      <c r="G62" s="13">
        <f t="shared" si="1"/>
        <v>11575</v>
      </c>
      <c r="H62" s="11"/>
      <c r="I62" s="11"/>
      <c r="J62" s="14">
        <v>45964.0</v>
      </c>
      <c r="K62" s="15"/>
      <c r="L62" s="15" t="s">
        <v>166</v>
      </c>
      <c r="M62" s="15"/>
      <c r="N62" s="18" t="s">
        <v>191</v>
      </c>
      <c r="O62" s="12" t="s">
        <v>29</v>
      </c>
      <c r="P62" s="11" t="s">
        <v>195</v>
      </c>
      <c r="Q62" s="19">
        <f t="shared" ref="Q62:R62" si="41">E62</f>
        <v>5</v>
      </c>
      <c r="R62" s="19">
        <f t="shared" si="41"/>
        <v>2315</v>
      </c>
      <c r="S62" s="19">
        <f t="shared" si="28"/>
        <v>11575</v>
      </c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</row>
    <row r="63" ht="18.75" customHeight="1">
      <c r="A63" s="9" t="s">
        <v>105</v>
      </c>
      <c r="B63" s="10">
        <v>4.589717868722E12</v>
      </c>
      <c r="C63" s="10" t="s">
        <v>196</v>
      </c>
      <c r="D63" s="11" t="s">
        <v>197</v>
      </c>
      <c r="E63" s="12">
        <v>1.0</v>
      </c>
      <c r="F63" s="12">
        <v>2095.0</v>
      </c>
      <c r="G63" s="13">
        <f t="shared" si="1"/>
        <v>2095</v>
      </c>
      <c r="H63" s="11"/>
      <c r="I63" s="11"/>
      <c r="J63" s="14">
        <v>45973.0</v>
      </c>
      <c r="K63" s="15"/>
      <c r="L63" s="15" t="s">
        <v>166</v>
      </c>
      <c r="M63" s="15"/>
      <c r="N63" s="18" t="s">
        <v>167</v>
      </c>
      <c r="O63" s="12" t="s">
        <v>29</v>
      </c>
      <c r="P63" s="11" t="s">
        <v>198</v>
      </c>
      <c r="Q63" s="19">
        <f t="shared" ref="Q63:R63" si="42">E63</f>
        <v>1</v>
      </c>
      <c r="R63" s="19">
        <f t="shared" si="42"/>
        <v>2095</v>
      </c>
      <c r="S63" s="19">
        <f t="shared" si="28"/>
        <v>2095</v>
      </c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</row>
    <row r="64" ht="18.75" customHeight="1">
      <c r="A64" s="9" t="s">
        <v>105</v>
      </c>
      <c r="B64" s="10">
        <v>4.589717862805E12</v>
      </c>
      <c r="C64" s="10" t="s">
        <v>199</v>
      </c>
      <c r="D64" s="11" t="s">
        <v>200</v>
      </c>
      <c r="E64" s="12">
        <v>10.0</v>
      </c>
      <c r="F64" s="12">
        <v>2095.0</v>
      </c>
      <c r="G64" s="13">
        <f t="shared" si="1"/>
        <v>20950</v>
      </c>
      <c r="H64" s="11"/>
      <c r="I64" s="11"/>
      <c r="J64" s="14">
        <v>45972.0</v>
      </c>
      <c r="K64" s="15"/>
      <c r="L64" s="15" t="s">
        <v>166</v>
      </c>
      <c r="M64" s="15"/>
      <c r="N64" s="18" t="s">
        <v>167</v>
      </c>
      <c r="O64" s="12" t="s">
        <v>29</v>
      </c>
      <c r="P64" s="11" t="s">
        <v>201</v>
      </c>
      <c r="Q64" s="19">
        <f t="shared" ref="Q64:R64" si="43">E64</f>
        <v>10</v>
      </c>
      <c r="R64" s="19">
        <f t="shared" si="43"/>
        <v>2095</v>
      </c>
      <c r="S64" s="19">
        <f t="shared" si="28"/>
        <v>20950</v>
      </c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</row>
    <row r="65" ht="18.75" customHeight="1">
      <c r="A65" s="21" t="s">
        <v>105</v>
      </c>
      <c r="B65" s="22">
        <v>4.589717877717E12</v>
      </c>
      <c r="C65" s="22" t="s">
        <v>202</v>
      </c>
      <c r="D65" s="23" t="s">
        <v>203</v>
      </c>
      <c r="E65" s="24">
        <v>1.0</v>
      </c>
      <c r="F65" s="24">
        <v>0.0</v>
      </c>
      <c r="G65" s="25">
        <v>0.0</v>
      </c>
      <c r="H65" s="23"/>
      <c r="I65" s="23"/>
      <c r="J65" s="26">
        <v>45972.0</v>
      </c>
      <c r="K65" s="6" t="s">
        <v>204</v>
      </c>
      <c r="L65" s="27" t="s">
        <v>166</v>
      </c>
      <c r="M65" s="6"/>
      <c r="N65" s="23"/>
      <c r="O65" s="23"/>
      <c r="P65" s="23"/>
      <c r="Q65" s="23"/>
      <c r="R65" s="23"/>
      <c r="S65" s="23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ht="18.75" customHeight="1">
      <c r="A66" s="21" t="s">
        <v>105</v>
      </c>
      <c r="B66" s="22">
        <v>4.589717877694E12</v>
      </c>
      <c r="C66" s="22" t="s">
        <v>205</v>
      </c>
      <c r="D66" s="23" t="s">
        <v>206</v>
      </c>
      <c r="E66" s="24">
        <v>1.0</v>
      </c>
      <c r="F66" s="24">
        <v>0.0</v>
      </c>
      <c r="G66" s="25">
        <v>0.0</v>
      </c>
      <c r="H66" s="23"/>
      <c r="I66" s="23"/>
      <c r="J66" s="26">
        <v>45972.0</v>
      </c>
      <c r="K66" s="6" t="s">
        <v>204</v>
      </c>
      <c r="L66" s="27" t="s">
        <v>166</v>
      </c>
      <c r="M66" s="6"/>
      <c r="N66" s="23"/>
      <c r="O66" s="23"/>
      <c r="P66" s="23"/>
      <c r="Q66" s="23"/>
      <c r="R66" s="23"/>
      <c r="S66" s="23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ht="18.75" customHeight="1">
      <c r="A67" s="9" t="s">
        <v>105</v>
      </c>
      <c r="B67" s="10">
        <v>4.589717873191E12</v>
      </c>
      <c r="C67" s="10" t="s">
        <v>207</v>
      </c>
      <c r="D67" s="11" t="s">
        <v>208</v>
      </c>
      <c r="E67" s="12">
        <v>1.0</v>
      </c>
      <c r="F67" s="12">
        <v>1764.0</v>
      </c>
      <c r="G67" s="13">
        <f t="shared" ref="G67:G101" si="45">F67*E67</f>
        <v>1764</v>
      </c>
      <c r="H67" s="11"/>
      <c r="I67" s="11"/>
      <c r="J67" s="14">
        <v>45972.0</v>
      </c>
      <c r="K67" s="15"/>
      <c r="L67" s="15" t="s">
        <v>166</v>
      </c>
      <c r="M67" s="15"/>
      <c r="N67" s="18" t="s">
        <v>167</v>
      </c>
      <c r="O67" s="12" t="s">
        <v>29</v>
      </c>
      <c r="P67" s="11" t="s">
        <v>209</v>
      </c>
      <c r="Q67" s="19">
        <f t="shared" ref="Q67:R67" si="44">E67</f>
        <v>1</v>
      </c>
      <c r="R67" s="19">
        <f t="shared" si="44"/>
        <v>1764</v>
      </c>
      <c r="S67" s="19">
        <f>R67*Q67</f>
        <v>1764</v>
      </c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</row>
    <row r="68" ht="18.75" customHeight="1">
      <c r="A68" s="9" t="s">
        <v>105</v>
      </c>
      <c r="B68" s="10">
        <v>4.589717870879E12</v>
      </c>
      <c r="C68" s="10" t="s">
        <v>210</v>
      </c>
      <c r="D68" s="11" t="s">
        <v>211</v>
      </c>
      <c r="E68" s="12">
        <v>1.0</v>
      </c>
      <c r="F68" s="12">
        <v>6064.0</v>
      </c>
      <c r="G68" s="13">
        <f t="shared" si="45"/>
        <v>6064</v>
      </c>
      <c r="H68" s="11"/>
      <c r="I68" s="11"/>
      <c r="J68" s="14">
        <v>45972.0</v>
      </c>
      <c r="K68" s="15"/>
      <c r="L68" s="15" t="s">
        <v>166</v>
      </c>
      <c r="M68" s="15"/>
      <c r="N68" s="18"/>
      <c r="O68" s="12"/>
      <c r="P68" s="11"/>
      <c r="Q68" s="19"/>
      <c r="R68" s="19"/>
      <c r="S68" s="19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</row>
    <row r="69" ht="18.75" customHeight="1">
      <c r="A69" s="9" t="s">
        <v>7</v>
      </c>
      <c r="B69" s="10">
        <v>4.546614999737E12</v>
      </c>
      <c r="C69" s="10" t="s">
        <v>212</v>
      </c>
      <c r="D69" s="11" t="s">
        <v>213</v>
      </c>
      <c r="E69" s="12">
        <v>2.0</v>
      </c>
      <c r="F69" s="12">
        <v>1755.0</v>
      </c>
      <c r="G69" s="13">
        <f t="shared" si="45"/>
        <v>3510</v>
      </c>
      <c r="H69" s="11"/>
      <c r="I69" s="11"/>
      <c r="J69" s="14">
        <v>45964.0</v>
      </c>
      <c r="K69" s="15"/>
      <c r="L69" s="15" t="s">
        <v>214</v>
      </c>
      <c r="M69" s="15"/>
      <c r="N69" s="18"/>
      <c r="O69" s="12"/>
      <c r="P69" s="11"/>
      <c r="Q69" s="19"/>
      <c r="R69" s="19"/>
      <c r="S69" s="19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</row>
    <row r="70" ht="18.75" customHeight="1">
      <c r="A70" s="9" t="s">
        <v>7</v>
      </c>
      <c r="B70" s="10">
        <v>4.546614999737E12</v>
      </c>
      <c r="C70" s="10" t="s">
        <v>212</v>
      </c>
      <c r="D70" s="11" t="s">
        <v>213</v>
      </c>
      <c r="E70" s="12">
        <v>1.0</v>
      </c>
      <c r="F70" s="12">
        <v>1755.0</v>
      </c>
      <c r="G70" s="13">
        <f t="shared" si="45"/>
        <v>1755</v>
      </c>
      <c r="H70" s="11"/>
      <c r="I70" s="11"/>
      <c r="J70" s="14">
        <v>45964.0</v>
      </c>
      <c r="K70" s="15"/>
      <c r="L70" s="15" t="s">
        <v>214</v>
      </c>
      <c r="M70" s="15"/>
      <c r="N70" s="18" t="s">
        <v>66</v>
      </c>
      <c r="O70" s="12" t="s">
        <v>29</v>
      </c>
      <c r="P70" s="11" t="s">
        <v>215</v>
      </c>
      <c r="Q70" s="19">
        <f t="shared" ref="Q70:R70" si="46">E70</f>
        <v>1</v>
      </c>
      <c r="R70" s="19">
        <f t="shared" si="46"/>
        <v>1755</v>
      </c>
      <c r="S70" s="19">
        <f t="shared" ref="S70:S74" si="48">R70*Q70</f>
        <v>1755</v>
      </c>
      <c r="T70" s="17">
        <v>22.5</v>
      </c>
      <c r="U70" s="17" t="s">
        <v>40</v>
      </c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</row>
    <row r="71" ht="18.75" customHeight="1">
      <c r="A71" s="9" t="s">
        <v>34</v>
      </c>
      <c r="B71" s="10">
        <v>4.562349711253E12</v>
      </c>
      <c r="C71" s="10" t="s">
        <v>216</v>
      </c>
      <c r="D71" s="11" t="s">
        <v>217</v>
      </c>
      <c r="E71" s="12">
        <v>4.0</v>
      </c>
      <c r="F71" s="12">
        <v>744.0</v>
      </c>
      <c r="G71" s="13">
        <f t="shared" si="45"/>
        <v>2976</v>
      </c>
      <c r="H71" s="11" t="s">
        <v>218</v>
      </c>
      <c r="I71" s="11"/>
      <c r="J71" s="14">
        <v>45964.0</v>
      </c>
      <c r="K71" s="15"/>
      <c r="L71" s="15" t="s">
        <v>219</v>
      </c>
      <c r="M71" s="15"/>
      <c r="N71" s="18" t="s">
        <v>220</v>
      </c>
      <c r="O71" s="12" t="s">
        <v>18</v>
      </c>
      <c r="P71" s="11" t="s">
        <v>221</v>
      </c>
      <c r="Q71" s="19">
        <f t="shared" ref="Q71:R71" si="47">E71</f>
        <v>4</v>
      </c>
      <c r="R71" s="19">
        <f t="shared" si="47"/>
        <v>744</v>
      </c>
      <c r="S71" s="19">
        <f t="shared" si="48"/>
        <v>2976</v>
      </c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</row>
    <row r="72" ht="18.75" customHeight="1">
      <c r="A72" s="9" t="s">
        <v>34</v>
      </c>
      <c r="B72" s="10">
        <v>4.562349711239E12</v>
      </c>
      <c r="C72" s="10" t="s">
        <v>222</v>
      </c>
      <c r="D72" s="11" t="s">
        <v>223</v>
      </c>
      <c r="E72" s="12">
        <v>4.0</v>
      </c>
      <c r="F72" s="12">
        <v>744.0</v>
      </c>
      <c r="G72" s="13">
        <f t="shared" si="45"/>
        <v>2976</v>
      </c>
      <c r="H72" s="11" t="s">
        <v>218</v>
      </c>
      <c r="I72" s="11"/>
      <c r="J72" s="14">
        <v>45964.0</v>
      </c>
      <c r="K72" s="15"/>
      <c r="L72" s="15" t="s">
        <v>219</v>
      </c>
      <c r="M72" s="15"/>
      <c r="N72" s="18" t="s">
        <v>220</v>
      </c>
      <c r="O72" s="12" t="s">
        <v>18</v>
      </c>
      <c r="P72" s="11" t="s">
        <v>224</v>
      </c>
      <c r="Q72" s="19">
        <f t="shared" ref="Q72:R72" si="49">E72</f>
        <v>4</v>
      </c>
      <c r="R72" s="19">
        <f t="shared" si="49"/>
        <v>744</v>
      </c>
      <c r="S72" s="19">
        <f t="shared" si="48"/>
        <v>2976</v>
      </c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</row>
    <row r="73" ht="18.75" customHeight="1">
      <c r="A73" s="9" t="s">
        <v>34</v>
      </c>
      <c r="B73" s="10">
        <v>4.562349711222E12</v>
      </c>
      <c r="C73" s="10" t="s">
        <v>225</v>
      </c>
      <c r="D73" s="11" t="s">
        <v>226</v>
      </c>
      <c r="E73" s="12">
        <v>4.0</v>
      </c>
      <c r="F73" s="12">
        <v>744.0</v>
      </c>
      <c r="G73" s="13">
        <f t="shared" si="45"/>
        <v>2976</v>
      </c>
      <c r="H73" s="11" t="s">
        <v>218</v>
      </c>
      <c r="I73" s="11"/>
      <c r="J73" s="14">
        <v>45964.0</v>
      </c>
      <c r="K73" s="15"/>
      <c r="L73" s="15" t="s">
        <v>219</v>
      </c>
      <c r="M73" s="15"/>
      <c r="N73" s="18" t="s">
        <v>220</v>
      </c>
      <c r="O73" s="12" t="s">
        <v>18</v>
      </c>
      <c r="P73" s="11" t="s">
        <v>227</v>
      </c>
      <c r="Q73" s="19">
        <f t="shared" ref="Q73:R73" si="50">E73</f>
        <v>4</v>
      </c>
      <c r="R73" s="19">
        <f t="shared" si="50"/>
        <v>744</v>
      </c>
      <c r="S73" s="19">
        <f t="shared" si="48"/>
        <v>2976</v>
      </c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</row>
    <row r="74" ht="18.75" customHeight="1">
      <c r="A74" s="9" t="s">
        <v>34</v>
      </c>
      <c r="B74" s="10">
        <v>4.562349710171E12</v>
      </c>
      <c r="C74" s="10" t="s">
        <v>228</v>
      </c>
      <c r="D74" s="11" t="s">
        <v>229</v>
      </c>
      <c r="E74" s="12">
        <v>4.0</v>
      </c>
      <c r="F74" s="12">
        <v>744.0</v>
      </c>
      <c r="G74" s="13">
        <f t="shared" si="45"/>
        <v>2976</v>
      </c>
      <c r="H74" s="11" t="s">
        <v>218</v>
      </c>
      <c r="I74" s="11"/>
      <c r="J74" s="14">
        <v>45964.0</v>
      </c>
      <c r="K74" s="15"/>
      <c r="L74" s="15" t="s">
        <v>219</v>
      </c>
      <c r="M74" s="15"/>
      <c r="N74" s="18" t="s">
        <v>220</v>
      </c>
      <c r="O74" s="12" t="s">
        <v>18</v>
      </c>
      <c r="P74" s="11" t="s">
        <v>230</v>
      </c>
      <c r="Q74" s="19">
        <f t="shared" ref="Q74:R74" si="51">E74</f>
        <v>4</v>
      </c>
      <c r="R74" s="19">
        <f t="shared" si="51"/>
        <v>744</v>
      </c>
      <c r="S74" s="19">
        <f t="shared" si="48"/>
        <v>2976</v>
      </c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</row>
    <row r="75" ht="18.75" customHeight="1">
      <c r="A75" s="9" t="s">
        <v>34</v>
      </c>
      <c r="B75" s="10">
        <v>4.562349710164E12</v>
      </c>
      <c r="C75" s="10" t="s">
        <v>231</v>
      </c>
      <c r="D75" s="11" t="s">
        <v>232</v>
      </c>
      <c r="E75" s="12">
        <v>1.0</v>
      </c>
      <c r="F75" s="12">
        <v>744.0</v>
      </c>
      <c r="G75" s="13">
        <f t="shared" si="45"/>
        <v>744</v>
      </c>
      <c r="H75" s="11"/>
      <c r="I75" s="11"/>
      <c r="J75" s="14">
        <v>45964.0</v>
      </c>
      <c r="K75" s="15"/>
      <c r="L75" s="15" t="s">
        <v>219</v>
      </c>
      <c r="M75" s="15"/>
      <c r="N75" s="18"/>
      <c r="O75" s="12"/>
      <c r="P75" s="11"/>
      <c r="Q75" s="19"/>
      <c r="R75" s="19"/>
      <c r="S75" s="19"/>
      <c r="T75" s="8"/>
      <c r="U75" s="8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</row>
    <row r="76" ht="18.75" customHeight="1">
      <c r="A76" s="9" t="s">
        <v>34</v>
      </c>
      <c r="B76" s="10">
        <v>4.562349710164E12</v>
      </c>
      <c r="C76" s="10" t="s">
        <v>231</v>
      </c>
      <c r="D76" s="11" t="s">
        <v>232</v>
      </c>
      <c r="E76" s="12">
        <v>3.0</v>
      </c>
      <c r="F76" s="12">
        <v>744.0</v>
      </c>
      <c r="G76" s="13">
        <f t="shared" si="45"/>
        <v>2232</v>
      </c>
      <c r="H76" s="11" t="s">
        <v>218</v>
      </c>
      <c r="I76" s="11"/>
      <c r="J76" s="14">
        <v>45964.0</v>
      </c>
      <c r="K76" s="15"/>
      <c r="L76" s="15" t="s">
        <v>219</v>
      </c>
      <c r="M76" s="15"/>
      <c r="N76" s="18" t="s">
        <v>220</v>
      </c>
      <c r="O76" s="12" t="s">
        <v>18</v>
      </c>
      <c r="P76" s="11" t="s">
        <v>233</v>
      </c>
      <c r="Q76" s="19">
        <f t="shared" ref="Q76:R76" si="52">E76</f>
        <v>3</v>
      </c>
      <c r="R76" s="19">
        <f t="shared" si="52"/>
        <v>744</v>
      </c>
      <c r="S76" s="19">
        <f t="shared" ref="S76:S93" si="54">R76*Q76</f>
        <v>2232</v>
      </c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</row>
    <row r="77" ht="18.75" customHeight="1">
      <c r="A77" s="9" t="s">
        <v>34</v>
      </c>
      <c r="B77" s="10">
        <v>4.562349719556E12</v>
      </c>
      <c r="C77" s="10" t="s">
        <v>234</v>
      </c>
      <c r="D77" s="11" t="s">
        <v>235</v>
      </c>
      <c r="E77" s="12">
        <v>20.0</v>
      </c>
      <c r="F77" s="12">
        <v>389.0</v>
      </c>
      <c r="G77" s="13">
        <f t="shared" si="45"/>
        <v>7780</v>
      </c>
      <c r="H77" s="11"/>
      <c r="I77" s="11"/>
      <c r="J77" s="14">
        <v>45967.0</v>
      </c>
      <c r="K77" s="15"/>
      <c r="L77" s="15" t="s">
        <v>219</v>
      </c>
      <c r="M77" s="15"/>
      <c r="N77" s="18" t="s">
        <v>236</v>
      </c>
      <c r="O77" s="12" t="s">
        <v>18</v>
      </c>
      <c r="P77" s="11" t="s">
        <v>237</v>
      </c>
      <c r="Q77" s="19">
        <f t="shared" ref="Q77:R77" si="53">E77</f>
        <v>20</v>
      </c>
      <c r="R77" s="19">
        <f t="shared" si="53"/>
        <v>389</v>
      </c>
      <c r="S77" s="19">
        <f t="shared" si="54"/>
        <v>7780</v>
      </c>
      <c r="T77" s="17">
        <v>9.9</v>
      </c>
      <c r="U77" s="17" t="s">
        <v>238</v>
      </c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</row>
    <row r="78" ht="18.75" customHeight="1">
      <c r="A78" s="9" t="s">
        <v>34</v>
      </c>
      <c r="B78" s="10">
        <v>4.562349719549E12</v>
      </c>
      <c r="C78" s="10" t="s">
        <v>239</v>
      </c>
      <c r="D78" s="11" t="s">
        <v>240</v>
      </c>
      <c r="E78" s="12">
        <v>20.0</v>
      </c>
      <c r="F78" s="12">
        <v>389.0</v>
      </c>
      <c r="G78" s="13">
        <f t="shared" si="45"/>
        <v>7780</v>
      </c>
      <c r="H78" s="11"/>
      <c r="I78" s="11"/>
      <c r="J78" s="14">
        <v>45967.0</v>
      </c>
      <c r="K78" s="15"/>
      <c r="L78" s="15" t="s">
        <v>219</v>
      </c>
      <c r="M78" s="15"/>
      <c r="N78" s="18" t="s">
        <v>236</v>
      </c>
      <c r="O78" s="12" t="s">
        <v>18</v>
      </c>
      <c r="P78" s="11" t="s">
        <v>241</v>
      </c>
      <c r="Q78" s="19">
        <f t="shared" ref="Q78:R78" si="55">E78</f>
        <v>20</v>
      </c>
      <c r="R78" s="19">
        <f t="shared" si="55"/>
        <v>389</v>
      </c>
      <c r="S78" s="19">
        <f t="shared" si="54"/>
        <v>7780</v>
      </c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</row>
    <row r="79" ht="18.75" customHeight="1">
      <c r="A79" s="9" t="s">
        <v>13</v>
      </c>
      <c r="B79" s="10">
        <v>4.562160139977E12</v>
      </c>
      <c r="C79" s="10" t="s">
        <v>242</v>
      </c>
      <c r="D79" s="11" t="s">
        <v>243</v>
      </c>
      <c r="E79" s="12">
        <v>5.0</v>
      </c>
      <c r="F79" s="12">
        <v>549.0</v>
      </c>
      <c r="G79" s="13">
        <f t="shared" si="45"/>
        <v>2745</v>
      </c>
      <c r="H79" s="11"/>
      <c r="I79" s="11"/>
      <c r="J79" s="14">
        <v>45972.0</v>
      </c>
      <c r="K79" s="15"/>
      <c r="L79" s="15" t="s">
        <v>244</v>
      </c>
      <c r="M79" s="15"/>
      <c r="N79" s="18" t="s">
        <v>245</v>
      </c>
      <c r="O79" s="12" t="s">
        <v>29</v>
      </c>
      <c r="P79" s="11" t="s">
        <v>246</v>
      </c>
      <c r="Q79" s="19">
        <f t="shared" ref="Q79:R79" si="56">E79</f>
        <v>5</v>
      </c>
      <c r="R79" s="19">
        <f t="shared" si="56"/>
        <v>549</v>
      </c>
      <c r="S79" s="19">
        <f t="shared" si="54"/>
        <v>2745</v>
      </c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</row>
    <row r="80" ht="18.75" customHeight="1">
      <c r="A80" s="9" t="s">
        <v>48</v>
      </c>
      <c r="B80" s="10">
        <v>4.562160139977E12</v>
      </c>
      <c r="C80" s="10" t="s">
        <v>242</v>
      </c>
      <c r="D80" s="11" t="s">
        <v>243</v>
      </c>
      <c r="E80" s="12">
        <v>10.0</v>
      </c>
      <c r="F80" s="12">
        <v>549.0</v>
      </c>
      <c r="G80" s="13">
        <f t="shared" si="45"/>
        <v>5490</v>
      </c>
      <c r="H80" s="11"/>
      <c r="I80" s="11"/>
      <c r="J80" s="14">
        <v>45974.0</v>
      </c>
      <c r="K80" s="15"/>
      <c r="L80" s="15" t="s">
        <v>244</v>
      </c>
      <c r="M80" s="15"/>
      <c r="N80" s="18" t="s">
        <v>51</v>
      </c>
      <c r="O80" s="12" t="s">
        <v>29</v>
      </c>
      <c r="P80" s="11" t="s">
        <v>246</v>
      </c>
      <c r="Q80" s="19">
        <f t="shared" ref="Q80:R80" si="57">E80</f>
        <v>10</v>
      </c>
      <c r="R80" s="19">
        <f t="shared" si="57"/>
        <v>549</v>
      </c>
      <c r="S80" s="19">
        <f t="shared" si="54"/>
        <v>5490</v>
      </c>
      <c r="T80" s="17">
        <v>23.8</v>
      </c>
      <c r="U80" s="17" t="s">
        <v>40</v>
      </c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</row>
    <row r="81" ht="18.75" customHeight="1">
      <c r="A81" s="9" t="s">
        <v>13</v>
      </c>
      <c r="B81" s="10">
        <v>4.562160139779E12</v>
      </c>
      <c r="C81" s="10" t="s">
        <v>247</v>
      </c>
      <c r="D81" s="11" t="s">
        <v>248</v>
      </c>
      <c r="E81" s="12">
        <v>10.0</v>
      </c>
      <c r="F81" s="12">
        <v>1786.0</v>
      </c>
      <c r="G81" s="13">
        <f t="shared" si="45"/>
        <v>17860</v>
      </c>
      <c r="H81" s="11"/>
      <c r="I81" s="11"/>
      <c r="J81" s="14">
        <v>45972.0</v>
      </c>
      <c r="K81" s="15"/>
      <c r="L81" s="15" t="s">
        <v>244</v>
      </c>
      <c r="M81" s="15"/>
      <c r="N81" s="18" t="s">
        <v>28</v>
      </c>
      <c r="O81" s="12" t="s">
        <v>29</v>
      </c>
      <c r="P81" s="11" t="s">
        <v>249</v>
      </c>
      <c r="Q81" s="19">
        <f t="shared" ref="Q81:R81" si="58">E81</f>
        <v>10</v>
      </c>
      <c r="R81" s="19">
        <f t="shared" si="58"/>
        <v>1786</v>
      </c>
      <c r="S81" s="19">
        <f t="shared" si="54"/>
        <v>17860</v>
      </c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</row>
    <row r="82" ht="18.75" customHeight="1">
      <c r="A82" s="9" t="s">
        <v>34</v>
      </c>
      <c r="B82" s="10">
        <v>4.562160139724E12</v>
      </c>
      <c r="C82" s="10" t="s">
        <v>250</v>
      </c>
      <c r="D82" s="11" t="s">
        <v>251</v>
      </c>
      <c r="E82" s="12">
        <v>5.0</v>
      </c>
      <c r="F82" s="12">
        <v>1610.0</v>
      </c>
      <c r="G82" s="13">
        <f t="shared" si="45"/>
        <v>8050</v>
      </c>
      <c r="H82" s="11"/>
      <c r="I82" s="11"/>
      <c r="J82" s="14">
        <v>45972.0</v>
      </c>
      <c r="K82" s="15"/>
      <c r="L82" s="15" t="s">
        <v>244</v>
      </c>
      <c r="M82" s="15"/>
      <c r="N82" s="18" t="s">
        <v>252</v>
      </c>
      <c r="O82" s="12" t="s">
        <v>29</v>
      </c>
      <c r="P82" s="11" t="s">
        <v>253</v>
      </c>
      <c r="Q82" s="19">
        <f t="shared" ref="Q82:R82" si="59">E82</f>
        <v>5</v>
      </c>
      <c r="R82" s="19">
        <f t="shared" si="59"/>
        <v>1610</v>
      </c>
      <c r="S82" s="19">
        <f t="shared" si="54"/>
        <v>8050</v>
      </c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</row>
    <row r="83" ht="18.75" customHeight="1">
      <c r="A83" s="9" t="s">
        <v>13</v>
      </c>
      <c r="B83" s="10">
        <v>4.562160139724E12</v>
      </c>
      <c r="C83" s="10" t="s">
        <v>250</v>
      </c>
      <c r="D83" s="11" t="s">
        <v>251</v>
      </c>
      <c r="E83" s="12">
        <v>5.0</v>
      </c>
      <c r="F83" s="12">
        <v>1610.0</v>
      </c>
      <c r="G83" s="13">
        <f t="shared" si="45"/>
        <v>8050</v>
      </c>
      <c r="H83" s="11"/>
      <c r="I83" s="11"/>
      <c r="J83" s="14">
        <v>45919.0</v>
      </c>
      <c r="K83" s="15"/>
      <c r="L83" s="15" t="s">
        <v>244</v>
      </c>
      <c r="M83" s="15"/>
      <c r="N83" s="18" t="s">
        <v>254</v>
      </c>
      <c r="O83" s="12" t="s">
        <v>29</v>
      </c>
      <c r="P83" s="11" t="s">
        <v>253</v>
      </c>
      <c r="Q83" s="19">
        <f t="shared" ref="Q83:R83" si="60">E83</f>
        <v>5</v>
      </c>
      <c r="R83" s="19">
        <f t="shared" si="60"/>
        <v>1610</v>
      </c>
      <c r="S83" s="19">
        <f t="shared" si="54"/>
        <v>8050</v>
      </c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</row>
    <row r="84" ht="18.75" customHeight="1">
      <c r="A84" s="9" t="s">
        <v>13</v>
      </c>
      <c r="B84" s="10">
        <v>4.562160139724E12</v>
      </c>
      <c r="C84" s="10" t="s">
        <v>250</v>
      </c>
      <c r="D84" s="11" t="s">
        <v>251</v>
      </c>
      <c r="E84" s="12">
        <v>8.0</v>
      </c>
      <c r="F84" s="12">
        <v>1610.0</v>
      </c>
      <c r="G84" s="13">
        <f t="shared" si="45"/>
        <v>12880</v>
      </c>
      <c r="H84" s="11"/>
      <c r="I84" s="11"/>
      <c r="J84" s="14">
        <v>45972.0</v>
      </c>
      <c r="K84" s="15"/>
      <c r="L84" s="15" t="s">
        <v>244</v>
      </c>
      <c r="M84" s="15"/>
      <c r="N84" s="18" t="s">
        <v>245</v>
      </c>
      <c r="O84" s="12" t="s">
        <v>29</v>
      </c>
      <c r="P84" s="11" t="s">
        <v>253</v>
      </c>
      <c r="Q84" s="19">
        <f t="shared" ref="Q84:R84" si="61">E84</f>
        <v>8</v>
      </c>
      <c r="R84" s="19">
        <f t="shared" si="61"/>
        <v>1610</v>
      </c>
      <c r="S84" s="19">
        <f t="shared" si="54"/>
        <v>12880</v>
      </c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</row>
    <row r="85" ht="18.75" customHeight="1">
      <c r="A85" s="9" t="s">
        <v>34</v>
      </c>
      <c r="B85" s="10">
        <v>4.562160139632E12</v>
      </c>
      <c r="C85" s="10" t="s">
        <v>255</v>
      </c>
      <c r="D85" s="11" t="s">
        <v>256</v>
      </c>
      <c r="E85" s="12">
        <v>5.0</v>
      </c>
      <c r="F85" s="12">
        <v>1610.0</v>
      </c>
      <c r="G85" s="13">
        <f t="shared" si="45"/>
        <v>8050</v>
      </c>
      <c r="H85" s="11"/>
      <c r="I85" s="11"/>
      <c r="J85" s="14">
        <v>45972.0</v>
      </c>
      <c r="K85" s="15"/>
      <c r="L85" s="15" t="s">
        <v>244</v>
      </c>
      <c r="M85" s="15"/>
      <c r="N85" s="18" t="s">
        <v>252</v>
      </c>
      <c r="O85" s="12" t="s">
        <v>29</v>
      </c>
      <c r="P85" s="11" t="s">
        <v>257</v>
      </c>
      <c r="Q85" s="19">
        <f t="shared" ref="Q85:R85" si="62">E85</f>
        <v>5</v>
      </c>
      <c r="R85" s="19">
        <f t="shared" si="62"/>
        <v>1610</v>
      </c>
      <c r="S85" s="19">
        <f t="shared" si="54"/>
        <v>8050</v>
      </c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</row>
    <row r="86" ht="18.75" customHeight="1">
      <c r="A86" s="9" t="s">
        <v>13</v>
      </c>
      <c r="B86" s="10">
        <v>4.562160139618E12</v>
      </c>
      <c r="C86" s="10" t="s">
        <v>258</v>
      </c>
      <c r="D86" s="11" t="s">
        <v>259</v>
      </c>
      <c r="E86" s="12">
        <v>3.0</v>
      </c>
      <c r="F86" s="12">
        <v>1080.0</v>
      </c>
      <c r="G86" s="13">
        <f t="shared" si="45"/>
        <v>3240</v>
      </c>
      <c r="H86" s="11"/>
      <c r="I86" s="11"/>
      <c r="J86" s="14">
        <v>45972.0</v>
      </c>
      <c r="K86" s="15"/>
      <c r="L86" s="15" t="s">
        <v>244</v>
      </c>
      <c r="M86" s="15"/>
      <c r="N86" s="18" t="s">
        <v>152</v>
      </c>
      <c r="O86" s="12" t="s">
        <v>29</v>
      </c>
      <c r="P86" s="11" t="s">
        <v>260</v>
      </c>
      <c r="Q86" s="19">
        <f t="shared" ref="Q86:R86" si="63">E86</f>
        <v>3</v>
      </c>
      <c r="R86" s="19">
        <f t="shared" si="63"/>
        <v>1080</v>
      </c>
      <c r="S86" s="19">
        <f t="shared" si="54"/>
        <v>3240</v>
      </c>
      <c r="T86" s="17">
        <v>22.3</v>
      </c>
      <c r="U86" s="17" t="s">
        <v>261</v>
      </c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</row>
    <row r="87" ht="18.75" customHeight="1">
      <c r="A87" s="9" t="s">
        <v>13</v>
      </c>
      <c r="B87" s="10">
        <v>4.562160139601E12</v>
      </c>
      <c r="C87" s="10" t="s">
        <v>262</v>
      </c>
      <c r="D87" s="11" t="s">
        <v>263</v>
      </c>
      <c r="E87" s="12">
        <v>3.0</v>
      </c>
      <c r="F87" s="12">
        <v>1080.0</v>
      </c>
      <c r="G87" s="13">
        <f t="shared" si="45"/>
        <v>3240</v>
      </c>
      <c r="H87" s="11"/>
      <c r="I87" s="11"/>
      <c r="J87" s="14">
        <v>45972.0</v>
      </c>
      <c r="K87" s="15"/>
      <c r="L87" s="15" t="s">
        <v>244</v>
      </c>
      <c r="M87" s="15"/>
      <c r="N87" s="18" t="s">
        <v>245</v>
      </c>
      <c r="O87" s="12" t="s">
        <v>29</v>
      </c>
      <c r="P87" s="11" t="s">
        <v>264</v>
      </c>
      <c r="Q87" s="19">
        <f t="shared" ref="Q87:R87" si="64">E87</f>
        <v>3</v>
      </c>
      <c r="R87" s="19">
        <f t="shared" si="64"/>
        <v>1080</v>
      </c>
      <c r="S87" s="19">
        <f t="shared" si="54"/>
        <v>3240</v>
      </c>
      <c r="T87" s="17">
        <v>24.4</v>
      </c>
      <c r="U87" s="17" t="s">
        <v>265</v>
      </c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</row>
    <row r="88" ht="18.75" customHeight="1">
      <c r="A88" s="9" t="s">
        <v>13</v>
      </c>
      <c r="B88" s="10">
        <v>4.562160139595E12</v>
      </c>
      <c r="C88" s="10" t="s">
        <v>266</v>
      </c>
      <c r="D88" s="11" t="s">
        <v>267</v>
      </c>
      <c r="E88" s="12">
        <v>3.0</v>
      </c>
      <c r="F88" s="12">
        <v>1080.0</v>
      </c>
      <c r="G88" s="13">
        <f t="shared" si="45"/>
        <v>3240</v>
      </c>
      <c r="H88" s="11"/>
      <c r="I88" s="11"/>
      <c r="J88" s="14">
        <v>45972.0</v>
      </c>
      <c r="K88" s="15"/>
      <c r="L88" s="15" t="s">
        <v>244</v>
      </c>
      <c r="M88" s="15"/>
      <c r="N88" s="18" t="s">
        <v>152</v>
      </c>
      <c r="O88" s="12" t="s">
        <v>29</v>
      </c>
      <c r="P88" s="11" t="s">
        <v>268</v>
      </c>
      <c r="Q88" s="19">
        <f t="shared" ref="Q88:R88" si="65">E88</f>
        <v>3</v>
      </c>
      <c r="R88" s="19">
        <f t="shared" si="65"/>
        <v>1080</v>
      </c>
      <c r="S88" s="19">
        <f t="shared" si="54"/>
        <v>3240</v>
      </c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</row>
    <row r="89" ht="18.75" customHeight="1">
      <c r="A89" s="9" t="s">
        <v>34</v>
      </c>
      <c r="B89" s="10">
        <v>4.56216013954E12</v>
      </c>
      <c r="C89" s="10" t="s">
        <v>269</v>
      </c>
      <c r="D89" s="11" t="s">
        <v>270</v>
      </c>
      <c r="E89" s="12">
        <v>5.0</v>
      </c>
      <c r="F89" s="12">
        <v>1610.0</v>
      </c>
      <c r="G89" s="13">
        <f t="shared" si="45"/>
        <v>8050</v>
      </c>
      <c r="H89" s="11"/>
      <c r="I89" s="11"/>
      <c r="J89" s="14">
        <v>45972.0</v>
      </c>
      <c r="K89" s="15"/>
      <c r="L89" s="15" t="s">
        <v>244</v>
      </c>
      <c r="M89" s="15"/>
      <c r="N89" s="18" t="s">
        <v>220</v>
      </c>
      <c r="O89" s="12" t="s">
        <v>29</v>
      </c>
      <c r="P89" s="11" t="s">
        <v>271</v>
      </c>
      <c r="Q89" s="19">
        <f t="shared" ref="Q89:R89" si="66">E89</f>
        <v>5</v>
      </c>
      <c r="R89" s="19">
        <f t="shared" si="66"/>
        <v>1610</v>
      </c>
      <c r="S89" s="19">
        <f t="shared" si="54"/>
        <v>8050</v>
      </c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</row>
    <row r="90" ht="18.75" customHeight="1">
      <c r="A90" s="9" t="s">
        <v>13</v>
      </c>
      <c r="B90" s="10">
        <v>4.562160139502E12</v>
      </c>
      <c r="C90" s="10" t="s">
        <v>272</v>
      </c>
      <c r="D90" s="11" t="s">
        <v>273</v>
      </c>
      <c r="E90" s="12">
        <v>3.0</v>
      </c>
      <c r="F90" s="12">
        <v>2150.0</v>
      </c>
      <c r="G90" s="13">
        <f t="shared" si="45"/>
        <v>6450</v>
      </c>
      <c r="H90" s="11"/>
      <c r="I90" s="11"/>
      <c r="J90" s="14">
        <v>45972.0</v>
      </c>
      <c r="K90" s="15"/>
      <c r="L90" s="15" t="s">
        <v>244</v>
      </c>
      <c r="M90" s="15"/>
      <c r="N90" s="18" t="s">
        <v>245</v>
      </c>
      <c r="O90" s="12" t="s">
        <v>29</v>
      </c>
      <c r="P90" s="11" t="s">
        <v>274</v>
      </c>
      <c r="Q90" s="19">
        <f t="shared" ref="Q90:R90" si="67">E90</f>
        <v>3</v>
      </c>
      <c r="R90" s="19">
        <f t="shared" si="67"/>
        <v>2150</v>
      </c>
      <c r="S90" s="19">
        <f t="shared" si="54"/>
        <v>6450</v>
      </c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</row>
    <row r="91" ht="18.75" customHeight="1">
      <c r="A91" s="9" t="s">
        <v>34</v>
      </c>
      <c r="B91" s="10">
        <v>4.562160139427E12</v>
      </c>
      <c r="C91" s="10" t="s">
        <v>275</v>
      </c>
      <c r="D91" s="11" t="s">
        <v>276</v>
      </c>
      <c r="E91" s="12">
        <v>10.0</v>
      </c>
      <c r="F91" s="12">
        <v>3308.0</v>
      </c>
      <c r="G91" s="13">
        <f t="shared" si="45"/>
        <v>33080</v>
      </c>
      <c r="H91" s="11"/>
      <c r="I91" s="11"/>
      <c r="J91" s="14">
        <v>45978.0</v>
      </c>
      <c r="K91" s="15"/>
      <c r="L91" s="15" t="s">
        <v>244</v>
      </c>
      <c r="M91" s="15"/>
      <c r="N91" s="18" t="s">
        <v>277</v>
      </c>
      <c r="O91" s="12" t="s">
        <v>29</v>
      </c>
      <c r="P91" s="11" t="s">
        <v>278</v>
      </c>
      <c r="Q91" s="19">
        <f t="shared" ref="Q91:R91" si="68">E91</f>
        <v>10</v>
      </c>
      <c r="R91" s="19">
        <f t="shared" si="68"/>
        <v>3308</v>
      </c>
      <c r="S91" s="19">
        <f t="shared" si="54"/>
        <v>33080</v>
      </c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</row>
    <row r="92" ht="18.75" customHeight="1">
      <c r="A92" s="9" t="s">
        <v>34</v>
      </c>
      <c r="B92" s="10">
        <v>4.562160139403E12</v>
      </c>
      <c r="C92" s="10" t="s">
        <v>279</v>
      </c>
      <c r="D92" s="11" t="s">
        <v>280</v>
      </c>
      <c r="E92" s="12">
        <v>5.0</v>
      </c>
      <c r="F92" s="12">
        <v>1489.0</v>
      </c>
      <c r="G92" s="13">
        <f t="shared" si="45"/>
        <v>7445</v>
      </c>
      <c r="H92" s="11"/>
      <c r="I92" s="11"/>
      <c r="J92" s="14">
        <v>45972.0</v>
      </c>
      <c r="K92" s="15"/>
      <c r="L92" s="15" t="s">
        <v>244</v>
      </c>
      <c r="M92" s="15"/>
      <c r="N92" s="18" t="s">
        <v>220</v>
      </c>
      <c r="O92" s="12" t="s">
        <v>29</v>
      </c>
      <c r="P92" s="11" t="s">
        <v>281</v>
      </c>
      <c r="Q92" s="19">
        <f t="shared" ref="Q92:R92" si="69">E92</f>
        <v>5</v>
      </c>
      <c r="R92" s="19">
        <f t="shared" si="69"/>
        <v>1489</v>
      </c>
      <c r="S92" s="19">
        <f t="shared" si="54"/>
        <v>7445</v>
      </c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</row>
    <row r="93" ht="18.75" customHeight="1">
      <c r="A93" s="9" t="s">
        <v>13</v>
      </c>
      <c r="B93" s="10">
        <v>4.562160139403E12</v>
      </c>
      <c r="C93" s="10" t="s">
        <v>279</v>
      </c>
      <c r="D93" s="11" t="s">
        <v>280</v>
      </c>
      <c r="E93" s="12">
        <v>5.0</v>
      </c>
      <c r="F93" s="12">
        <v>1489.0</v>
      </c>
      <c r="G93" s="13">
        <f t="shared" si="45"/>
        <v>7445</v>
      </c>
      <c r="H93" s="11"/>
      <c r="I93" s="11"/>
      <c r="J93" s="14">
        <v>45972.0</v>
      </c>
      <c r="K93" s="15"/>
      <c r="L93" s="15" t="s">
        <v>244</v>
      </c>
      <c r="M93" s="15"/>
      <c r="N93" s="18" t="s">
        <v>245</v>
      </c>
      <c r="O93" s="12" t="s">
        <v>29</v>
      </c>
      <c r="P93" s="11" t="s">
        <v>281</v>
      </c>
      <c r="Q93" s="19">
        <f t="shared" ref="Q93:R93" si="70">E93</f>
        <v>5</v>
      </c>
      <c r="R93" s="19">
        <f t="shared" si="70"/>
        <v>1489</v>
      </c>
      <c r="S93" s="19">
        <f t="shared" si="54"/>
        <v>7445</v>
      </c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</row>
    <row r="94" ht="18.75" customHeight="1">
      <c r="A94" s="9" t="s">
        <v>34</v>
      </c>
      <c r="B94" s="10">
        <v>4.562160139328E12</v>
      </c>
      <c r="C94" s="10" t="s">
        <v>282</v>
      </c>
      <c r="D94" s="11" t="s">
        <v>283</v>
      </c>
      <c r="E94" s="12">
        <v>3.0</v>
      </c>
      <c r="F94" s="12">
        <v>2867.0</v>
      </c>
      <c r="G94" s="13">
        <f t="shared" si="45"/>
        <v>8601</v>
      </c>
      <c r="H94" s="11"/>
      <c r="I94" s="11"/>
      <c r="J94" s="14">
        <v>45951.0</v>
      </c>
      <c r="K94" s="15"/>
      <c r="L94" s="15" t="s">
        <v>244</v>
      </c>
      <c r="M94" s="15"/>
      <c r="N94" s="18"/>
      <c r="O94" s="12"/>
      <c r="P94" s="11"/>
      <c r="Q94" s="19"/>
      <c r="R94" s="19"/>
      <c r="S94" s="19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</row>
    <row r="95" ht="18.75" customHeight="1">
      <c r="A95" s="9" t="s">
        <v>34</v>
      </c>
      <c r="B95" s="10">
        <v>4.562160139328E12</v>
      </c>
      <c r="C95" s="10" t="s">
        <v>282</v>
      </c>
      <c r="D95" s="11" t="s">
        <v>283</v>
      </c>
      <c r="E95" s="12">
        <v>17.0</v>
      </c>
      <c r="F95" s="12">
        <v>2867.0</v>
      </c>
      <c r="G95" s="13">
        <f t="shared" si="45"/>
        <v>48739</v>
      </c>
      <c r="H95" s="11"/>
      <c r="I95" s="11"/>
      <c r="J95" s="14">
        <v>45951.0</v>
      </c>
      <c r="K95" s="15"/>
      <c r="L95" s="15" t="s">
        <v>244</v>
      </c>
      <c r="M95" s="15"/>
      <c r="N95" s="18"/>
      <c r="O95" s="12"/>
      <c r="P95" s="11"/>
      <c r="Q95" s="19"/>
      <c r="R95" s="19"/>
      <c r="S95" s="19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</row>
    <row r="96" ht="18.75" customHeight="1">
      <c r="A96" s="9" t="s">
        <v>34</v>
      </c>
      <c r="B96" s="10">
        <v>4.562160139328E12</v>
      </c>
      <c r="C96" s="10" t="s">
        <v>282</v>
      </c>
      <c r="D96" s="11" t="s">
        <v>283</v>
      </c>
      <c r="E96" s="12">
        <v>3.0</v>
      </c>
      <c r="F96" s="12">
        <v>2867.0</v>
      </c>
      <c r="G96" s="13">
        <f t="shared" si="45"/>
        <v>8601</v>
      </c>
      <c r="H96" s="11"/>
      <c r="I96" s="11"/>
      <c r="J96" s="14">
        <v>45973.0</v>
      </c>
      <c r="K96" s="15"/>
      <c r="L96" s="15" t="s">
        <v>244</v>
      </c>
      <c r="M96" s="15"/>
      <c r="N96" s="18"/>
      <c r="O96" s="12"/>
      <c r="P96" s="11"/>
      <c r="Q96" s="19"/>
      <c r="R96" s="19"/>
      <c r="S96" s="19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</row>
    <row r="97" ht="18.75" customHeight="1">
      <c r="A97" s="9" t="s">
        <v>34</v>
      </c>
      <c r="B97" s="10">
        <v>4.562160139328E12</v>
      </c>
      <c r="C97" s="10" t="s">
        <v>282</v>
      </c>
      <c r="D97" s="11" t="s">
        <v>283</v>
      </c>
      <c r="E97" s="12">
        <v>17.0</v>
      </c>
      <c r="F97" s="12">
        <v>2867.0</v>
      </c>
      <c r="G97" s="13">
        <f t="shared" si="45"/>
        <v>48739</v>
      </c>
      <c r="H97" s="11"/>
      <c r="I97" s="11"/>
      <c r="J97" s="14">
        <v>45973.0</v>
      </c>
      <c r="K97" s="15"/>
      <c r="L97" s="15" t="s">
        <v>244</v>
      </c>
      <c r="M97" s="15"/>
      <c r="N97" s="18" t="s">
        <v>284</v>
      </c>
      <c r="O97" s="12" t="s">
        <v>29</v>
      </c>
      <c r="P97" s="11" t="s">
        <v>285</v>
      </c>
      <c r="Q97" s="19">
        <f t="shared" ref="Q97:R97" si="71">E97</f>
        <v>17</v>
      </c>
      <c r="R97" s="19">
        <f t="shared" si="71"/>
        <v>2867</v>
      </c>
      <c r="S97" s="19">
        <f t="shared" ref="S97:S101" si="73">R97*Q97</f>
        <v>48739</v>
      </c>
      <c r="T97" s="17">
        <v>24.1</v>
      </c>
      <c r="U97" s="17" t="s">
        <v>265</v>
      </c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</row>
    <row r="98" ht="18.75" customHeight="1">
      <c r="A98" s="9" t="s">
        <v>42</v>
      </c>
      <c r="B98" s="10">
        <v>4.562160139328E12</v>
      </c>
      <c r="C98" s="10" t="s">
        <v>282</v>
      </c>
      <c r="D98" s="11" t="s">
        <v>283</v>
      </c>
      <c r="E98" s="12">
        <v>1.0</v>
      </c>
      <c r="F98" s="12">
        <v>2867.0</v>
      </c>
      <c r="G98" s="13">
        <f t="shared" si="45"/>
        <v>2867</v>
      </c>
      <c r="H98" s="11"/>
      <c r="I98" s="11"/>
      <c r="J98" s="14">
        <v>45951.0</v>
      </c>
      <c r="K98" s="15"/>
      <c r="L98" s="15" t="s">
        <v>244</v>
      </c>
      <c r="M98" s="15"/>
      <c r="N98" s="18" t="s">
        <v>286</v>
      </c>
      <c r="O98" s="12" t="s">
        <v>29</v>
      </c>
      <c r="P98" s="11" t="s">
        <v>285</v>
      </c>
      <c r="Q98" s="19">
        <f t="shared" ref="Q98:R98" si="72">E98</f>
        <v>1</v>
      </c>
      <c r="R98" s="19">
        <f t="shared" si="72"/>
        <v>2867</v>
      </c>
      <c r="S98" s="19">
        <f t="shared" si="73"/>
        <v>2867</v>
      </c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</row>
    <row r="99" ht="18.75" customHeight="1">
      <c r="A99" s="9" t="s">
        <v>42</v>
      </c>
      <c r="B99" s="10">
        <v>4.562160139328E12</v>
      </c>
      <c r="C99" s="10" t="s">
        <v>282</v>
      </c>
      <c r="D99" s="11" t="s">
        <v>283</v>
      </c>
      <c r="E99" s="12">
        <v>2.0</v>
      </c>
      <c r="F99" s="12">
        <v>2867.0</v>
      </c>
      <c r="G99" s="13">
        <f t="shared" si="45"/>
        <v>5734</v>
      </c>
      <c r="H99" s="11"/>
      <c r="I99" s="11"/>
      <c r="J99" s="14">
        <v>45973.0</v>
      </c>
      <c r="K99" s="15"/>
      <c r="L99" s="15" t="s">
        <v>244</v>
      </c>
      <c r="M99" s="15"/>
      <c r="N99" s="18" t="s">
        <v>43</v>
      </c>
      <c r="O99" s="12" t="s">
        <v>29</v>
      </c>
      <c r="P99" s="11" t="s">
        <v>285</v>
      </c>
      <c r="Q99" s="19">
        <f t="shared" ref="Q99:R99" si="74">E99</f>
        <v>2</v>
      </c>
      <c r="R99" s="19">
        <f t="shared" si="74"/>
        <v>2867</v>
      </c>
      <c r="S99" s="19">
        <f t="shared" si="73"/>
        <v>5734</v>
      </c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</row>
    <row r="100" ht="18.75" customHeight="1">
      <c r="A100" s="9" t="s">
        <v>13</v>
      </c>
      <c r="B100" s="10">
        <v>4.562160139328E12</v>
      </c>
      <c r="C100" s="10" t="s">
        <v>282</v>
      </c>
      <c r="D100" s="11" t="s">
        <v>283</v>
      </c>
      <c r="E100" s="12">
        <v>6.0</v>
      </c>
      <c r="F100" s="12">
        <v>2867.0</v>
      </c>
      <c r="G100" s="13">
        <f t="shared" si="45"/>
        <v>17202</v>
      </c>
      <c r="H100" s="11"/>
      <c r="I100" s="11"/>
      <c r="J100" s="14">
        <v>45897.0</v>
      </c>
      <c r="K100" s="15"/>
      <c r="L100" s="15" t="s">
        <v>244</v>
      </c>
      <c r="M100" s="15"/>
      <c r="N100" s="18" t="s">
        <v>152</v>
      </c>
      <c r="O100" s="12" t="s">
        <v>29</v>
      </c>
      <c r="P100" s="11" t="s">
        <v>285</v>
      </c>
      <c r="Q100" s="19">
        <f t="shared" ref="Q100:R100" si="75">E100</f>
        <v>6</v>
      </c>
      <c r="R100" s="19">
        <f t="shared" si="75"/>
        <v>2867</v>
      </c>
      <c r="S100" s="19">
        <f t="shared" si="73"/>
        <v>17202</v>
      </c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</row>
    <row r="101" ht="18.75" customHeight="1">
      <c r="A101" s="9" t="s">
        <v>13</v>
      </c>
      <c r="B101" s="10">
        <v>4.562160139328E12</v>
      </c>
      <c r="C101" s="10" t="s">
        <v>282</v>
      </c>
      <c r="D101" s="11" t="s">
        <v>283</v>
      </c>
      <c r="E101" s="12">
        <v>3.0</v>
      </c>
      <c r="F101" s="12">
        <v>2867.0</v>
      </c>
      <c r="G101" s="13">
        <f t="shared" si="45"/>
        <v>8601</v>
      </c>
      <c r="H101" s="11"/>
      <c r="I101" s="11"/>
      <c r="J101" s="14">
        <v>45972.0</v>
      </c>
      <c r="K101" s="15"/>
      <c r="L101" s="15" t="s">
        <v>244</v>
      </c>
      <c r="M101" s="15"/>
      <c r="N101" s="18" t="s">
        <v>245</v>
      </c>
      <c r="O101" s="12" t="s">
        <v>29</v>
      </c>
      <c r="P101" s="11" t="s">
        <v>285</v>
      </c>
      <c r="Q101" s="19">
        <f t="shared" ref="Q101:R101" si="76">E101</f>
        <v>3</v>
      </c>
      <c r="R101" s="19">
        <f t="shared" si="76"/>
        <v>2867</v>
      </c>
      <c r="S101" s="19">
        <f t="shared" si="73"/>
        <v>8601</v>
      </c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</row>
    <row r="102" ht="18.75" customHeight="1">
      <c r="A102" s="9" t="s">
        <v>34</v>
      </c>
      <c r="B102" s="10">
        <v>4.56216013909E12</v>
      </c>
      <c r="C102" s="10" t="s">
        <v>287</v>
      </c>
      <c r="D102" s="11" t="s">
        <v>288</v>
      </c>
      <c r="E102" s="12">
        <v>1.0</v>
      </c>
      <c r="F102" s="12">
        <v>3308.0</v>
      </c>
      <c r="G102" s="13">
        <v>0.0</v>
      </c>
      <c r="H102" s="28" t="s">
        <v>289</v>
      </c>
      <c r="I102" s="11"/>
      <c r="J102" s="14">
        <v>45943.0</v>
      </c>
      <c r="K102" s="15"/>
      <c r="L102" s="15" t="s">
        <v>244</v>
      </c>
      <c r="M102" s="15"/>
      <c r="N102" s="18"/>
      <c r="O102" s="12"/>
      <c r="P102" s="11"/>
      <c r="Q102" s="19"/>
      <c r="R102" s="20"/>
      <c r="S102" s="19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</row>
    <row r="103" ht="18.75" customHeight="1">
      <c r="A103" s="9" t="s">
        <v>34</v>
      </c>
      <c r="B103" s="10">
        <v>4.56216013909E12</v>
      </c>
      <c r="C103" s="10" t="s">
        <v>287</v>
      </c>
      <c r="D103" s="11" t="s">
        <v>288</v>
      </c>
      <c r="E103" s="12">
        <v>3.0</v>
      </c>
      <c r="F103" s="12">
        <v>3308.0</v>
      </c>
      <c r="G103" s="13">
        <f t="shared" ref="G103:G160" si="77">F103*E103</f>
        <v>9924</v>
      </c>
      <c r="H103" s="11"/>
      <c r="I103" s="11"/>
      <c r="J103" s="14">
        <v>45968.0</v>
      </c>
      <c r="K103" s="15"/>
      <c r="L103" s="15" t="s">
        <v>244</v>
      </c>
      <c r="M103" s="15"/>
      <c r="N103" s="18"/>
      <c r="O103" s="12"/>
      <c r="P103" s="11"/>
      <c r="Q103" s="19"/>
      <c r="R103" s="20"/>
      <c r="S103" s="19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</row>
    <row r="104" ht="18.75" customHeight="1">
      <c r="A104" s="9" t="s">
        <v>34</v>
      </c>
      <c r="B104" s="10">
        <v>4.56216013909E12</v>
      </c>
      <c r="C104" s="10" t="s">
        <v>287</v>
      </c>
      <c r="D104" s="11" t="s">
        <v>288</v>
      </c>
      <c r="E104" s="12">
        <v>17.0</v>
      </c>
      <c r="F104" s="12">
        <v>3308.0</v>
      </c>
      <c r="G104" s="13">
        <f t="shared" si="77"/>
        <v>56236</v>
      </c>
      <c r="H104" s="11"/>
      <c r="I104" s="11"/>
      <c r="J104" s="14">
        <v>45968.0</v>
      </c>
      <c r="K104" s="15"/>
      <c r="L104" s="15" t="s">
        <v>244</v>
      </c>
      <c r="M104" s="15"/>
      <c r="N104" s="18" t="s">
        <v>290</v>
      </c>
      <c r="O104" s="12" t="s">
        <v>29</v>
      </c>
      <c r="P104" s="11" t="s">
        <v>291</v>
      </c>
      <c r="Q104" s="19">
        <f t="shared" ref="Q104:Q112" si="78">E104</f>
        <v>17</v>
      </c>
      <c r="R104" s="20">
        <v>3150.0</v>
      </c>
      <c r="S104" s="19">
        <f t="shared" ref="S104:S112" si="79">R104*Q104</f>
        <v>53550</v>
      </c>
      <c r="T104" s="17">
        <v>24.4</v>
      </c>
      <c r="U104" s="17" t="s">
        <v>265</v>
      </c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</row>
    <row r="105" ht="16.5" customHeight="1">
      <c r="A105" s="9" t="s">
        <v>13</v>
      </c>
      <c r="B105" s="10">
        <v>4.56216013909E12</v>
      </c>
      <c r="C105" s="10" t="s">
        <v>287</v>
      </c>
      <c r="D105" s="11" t="s">
        <v>288</v>
      </c>
      <c r="E105" s="12">
        <v>10.0</v>
      </c>
      <c r="F105" s="12">
        <v>3308.0</v>
      </c>
      <c r="G105" s="13">
        <f t="shared" si="77"/>
        <v>33080</v>
      </c>
      <c r="H105" s="11"/>
      <c r="I105" s="11"/>
      <c r="J105" s="14">
        <v>45944.0</v>
      </c>
      <c r="K105" s="15"/>
      <c r="L105" s="15" t="s">
        <v>244</v>
      </c>
      <c r="M105" s="15"/>
      <c r="N105" s="18" t="s">
        <v>292</v>
      </c>
      <c r="O105" s="12" t="s">
        <v>29</v>
      </c>
      <c r="P105" s="11" t="s">
        <v>291</v>
      </c>
      <c r="Q105" s="19">
        <f t="shared" si="78"/>
        <v>10</v>
      </c>
      <c r="R105" s="19">
        <f t="shared" ref="R105:R112" si="80">F105</f>
        <v>3308</v>
      </c>
      <c r="S105" s="19">
        <f t="shared" si="79"/>
        <v>33080</v>
      </c>
      <c r="T105" s="17">
        <v>14.4</v>
      </c>
      <c r="U105" s="17" t="s">
        <v>293</v>
      </c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</row>
    <row r="106" ht="16.5" customHeight="1">
      <c r="A106" s="9" t="s">
        <v>13</v>
      </c>
      <c r="B106" s="10">
        <v>4.562160139021E12</v>
      </c>
      <c r="C106" s="10" t="s">
        <v>294</v>
      </c>
      <c r="D106" s="11" t="s">
        <v>295</v>
      </c>
      <c r="E106" s="12">
        <v>3.0</v>
      </c>
      <c r="F106" s="12">
        <v>2867.0</v>
      </c>
      <c r="G106" s="13">
        <f t="shared" si="77"/>
        <v>8601</v>
      </c>
      <c r="H106" s="11"/>
      <c r="I106" s="11"/>
      <c r="J106" s="14">
        <v>45944.0</v>
      </c>
      <c r="K106" s="15"/>
      <c r="L106" s="15" t="s">
        <v>244</v>
      </c>
      <c r="M106" s="15"/>
      <c r="N106" s="18" t="s">
        <v>254</v>
      </c>
      <c r="O106" s="12" t="s">
        <v>29</v>
      </c>
      <c r="P106" s="11" t="s">
        <v>296</v>
      </c>
      <c r="Q106" s="19">
        <f t="shared" si="78"/>
        <v>3</v>
      </c>
      <c r="R106" s="19">
        <f t="shared" si="80"/>
        <v>2867</v>
      </c>
      <c r="S106" s="19">
        <f t="shared" si="79"/>
        <v>8601</v>
      </c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</row>
    <row r="107" ht="16.5" customHeight="1">
      <c r="A107" s="9" t="s">
        <v>13</v>
      </c>
      <c r="B107" s="10">
        <v>4.562160139021E12</v>
      </c>
      <c r="C107" s="10" t="s">
        <v>294</v>
      </c>
      <c r="D107" s="11" t="s">
        <v>295</v>
      </c>
      <c r="E107" s="12">
        <v>3.0</v>
      </c>
      <c r="F107" s="12">
        <v>2867.0</v>
      </c>
      <c r="G107" s="13">
        <f t="shared" si="77"/>
        <v>8601</v>
      </c>
      <c r="H107" s="11"/>
      <c r="I107" s="11"/>
      <c r="J107" s="14">
        <v>45972.0</v>
      </c>
      <c r="K107" s="15"/>
      <c r="L107" s="15" t="s">
        <v>244</v>
      </c>
      <c r="M107" s="15"/>
      <c r="N107" s="18" t="s">
        <v>245</v>
      </c>
      <c r="O107" s="12" t="s">
        <v>29</v>
      </c>
      <c r="P107" s="11" t="s">
        <v>296</v>
      </c>
      <c r="Q107" s="19">
        <f t="shared" si="78"/>
        <v>3</v>
      </c>
      <c r="R107" s="19">
        <f t="shared" si="80"/>
        <v>2867</v>
      </c>
      <c r="S107" s="19">
        <f t="shared" si="79"/>
        <v>8601</v>
      </c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</row>
    <row r="108" ht="16.5" customHeight="1">
      <c r="A108" s="9" t="s">
        <v>34</v>
      </c>
      <c r="B108" s="10">
        <v>4.562160139014E12</v>
      </c>
      <c r="C108" s="10" t="s">
        <v>297</v>
      </c>
      <c r="D108" s="11" t="s">
        <v>298</v>
      </c>
      <c r="E108" s="12">
        <v>20.0</v>
      </c>
      <c r="F108" s="12">
        <v>549.0</v>
      </c>
      <c r="G108" s="13">
        <f t="shared" si="77"/>
        <v>10980</v>
      </c>
      <c r="H108" s="11"/>
      <c r="I108" s="11"/>
      <c r="J108" s="14">
        <v>45979.0</v>
      </c>
      <c r="K108" s="15"/>
      <c r="L108" s="15" t="s">
        <v>244</v>
      </c>
      <c r="M108" s="15"/>
      <c r="N108" s="18" t="s">
        <v>299</v>
      </c>
      <c r="O108" s="12" t="s">
        <v>29</v>
      </c>
      <c r="P108" s="11" t="s">
        <v>300</v>
      </c>
      <c r="Q108" s="19">
        <f t="shared" si="78"/>
        <v>20</v>
      </c>
      <c r="R108" s="19">
        <f t="shared" si="80"/>
        <v>549</v>
      </c>
      <c r="S108" s="19">
        <f t="shared" si="79"/>
        <v>10980</v>
      </c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</row>
    <row r="109" ht="16.5" customHeight="1">
      <c r="A109" s="9" t="s">
        <v>34</v>
      </c>
      <c r="B109" s="10">
        <v>4.562160138987E12</v>
      </c>
      <c r="C109" s="10" t="s">
        <v>301</v>
      </c>
      <c r="D109" s="11" t="s">
        <v>302</v>
      </c>
      <c r="E109" s="12">
        <v>3.0</v>
      </c>
      <c r="F109" s="12">
        <v>3308.0</v>
      </c>
      <c r="G109" s="13">
        <f t="shared" si="77"/>
        <v>9924</v>
      </c>
      <c r="H109" s="11"/>
      <c r="I109" s="11"/>
      <c r="J109" s="14">
        <v>45978.0</v>
      </c>
      <c r="K109" s="15"/>
      <c r="L109" s="15" t="s">
        <v>244</v>
      </c>
      <c r="M109" s="15"/>
      <c r="N109" s="18" t="s">
        <v>57</v>
      </c>
      <c r="O109" s="12" t="s">
        <v>29</v>
      </c>
      <c r="P109" s="11" t="s">
        <v>303</v>
      </c>
      <c r="Q109" s="19">
        <f t="shared" si="78"/>
        <v>3</v>
      </c>
      <c r="R109" s="19">
        <f t="shared" si="80"/>
        <v>3308</v>
      </c>
      <c r="S109" s="19">
        <f t="shared" si="79"/>
        <v>9924</v>
      </c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</row>
    <row r="110" ht="16.5" customHeight="1">
      <c r="A110" s="9" t="s">
        <v>34</v>
      </c>
      <c r="B110" s="10">
        <v>4.56216013897E12</v>
      </c>
      <c r="C110" s="10" t="s">
        <v>304</v>
      </c>
      <c r="D110" s="11" t="s">
        <v>305</v>
      </c>
      <c r="E110" s="12">
        <v>5.0</v>
      </c>
      <c r="F110" s="12">
        <v>3308.0</v>
      </c>
      <c r="G110" s="13">
        <f t="shared" si="77"/>
        <v>16540</v>
      </c>
      <c r="H110" s="11"/>
      <c r="I110" s="11"/>
      <c r="J110" s="14">
        <v>45978.0</v>
      </c>
      <c r="K110" s="15"/>
      <c r="L110" s="15" t="s">
        <v>244</v>
      </c>
      <c r="M110" s="15"/>
      <c r="N110" s="18" t="s">
        <v>57</v>
      </c>
      <c r="O110" s="12" t="s">
        <v>29</v>
      </c>
      <c r="P110" s="11" t="s">
        <v>306</v>
      </c>
      <c r="Q110" s="19">
        <f t="shared" si="78"/>
        <v>5</v>
      </c>
      <c r="R110" s="19">
        <f t="shared" si="80"/>
        <v>3308</v>
      </c>
      <c r="S110" s="19">
        <f t="shared" si="79"/>
        <v>16540</v>
      </c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</row>
    <row r="111" ht="16.5" customHeight="1">
      <c r="A111" s="9" t="s">
        <v>34</v>
      </c>
      <c r="B111" s="10">
        <v>4.562160138918E12</v>
      </c>
      <c r="C111" s="10" t="s">
        <v>307</v>
      </c>
      <c r="D111" s="11" t="s">
        <v>308</v>
      </c>
      <c r="E111" s="12">
        <v>2.0</v>
      </c>
      <c r="F111" s="12">
        <v>1555.0</v>
      </c>
      <c r="G111" s="13">
        <f t="shared" si="77"/>
        <v>3110</v>
      </c>
      <c r="H111" s="11"/>
      <c r="I111" s="11"/>
      <c r="J111" s="14">
        <v>45972.0</v>
      </c>
      <c r="K111" s="15"/>
      <c r="L111" s="15" t="s">
        <v>244</v>
      </c>
      <c r="M111" s="15"/>
      <c r="N111" s="18" t="s">
        <v>252</v>
      </c>
      <c r="O111" s="12" t="s">
        <v>29</v>
      </c>
      <c r="P111" s="11" t="s">
        <v>309</v>
      </c>
      <c r="Q111" s="19">
        <f t="shared" si="78"/>
        <v>2</v>
      </c>
      <c r="R111" s="19">
        <f t="shared" si="80"/>
        <v>1555</v>
      </c>
      <c r="S111" s="19">
        <f t="shared" si="79"/>
        <v>3110</v>
      </c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</row>
    <row r="112" ht="16.5" customHeight="1">
      <c r="A112" s="9" t="s">
        <v>34</v>
      </c>
      <c r="B112" s="10">
        <v>4.562160138901E12</v>
      </c>
      <c r="C112" s="10" t="s">
        <v>310</v>
      </c>
      <c r="D112" s="11" t="s">
        <v>311</v>
      </c>
      <c r="E112" s="12">
        <v>4.0</v>
      </c>
      <c r="F112" s="12">
        <v>1555.0</v>
      </c>
      <c r="G112" s="13">
        <f t="shared" si="77"/>
        <v>6220</v>
      </c>
      <c r="H112" s="11"/>
      <c r="I112" s="11"/>
      <c r="J112" s="14">
        <v>45972.0</v>
      </c>
      <c r="K112" s="15"/>
      <c r="L112" s="15" t="s">
        <v>244</v>
      </c>
      <c r="M112" s="15"/>
      <c r="N112" s="18" t="s">
        <v>220</v>
      </c>
      <c r="O112" s="12" t="s">
        <v>29</v>
      </c>
      <c r="P112" s="11" t="s">
        <v>312</v>
      </c>
      <c r="Q112" s="19">
        <f t="shared" si="78"/>
        <v>4</v>
      </c>
      <c r="R112" s="19">
        <f t="shared" si="80"/>
        <v>1555</v>
      </c>
      <c r="S112" s="19">
        <f t="shared" si="79"/>
        <v>6220</v>
      </c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</row>
    <row r="113" ht="16.5" customHeight="1">
      <c r="A113" s="21" t="s">
        <v>34</v>
      </c>
      <c r="B113" s="22">
        <v>4.562160138895E12</v>
      </c>
      <c r="C113" s="22" t="s">
        <v>313</v>
      </c>
      <c r="D113" s="23" t="s">
        <v>314</v>
      </c>
      <c r="E113" s="24">
        <v>4.0</v>
      </c>
      <c r="F113" s="24">
        <v>0.0</v>
      </c>
      <c r="G113" s="25">
        <f t="shared" si="77"/>
        <v>0</v>
      </c>
      <c r="H113" s="23"/>
      <c r="I113" s="23"/>
      <c r="J113" s="26">
        <v>45972.0</v>
      </c>
      <c r="K113" s="6" t="s">
        <v>204</v>
      </c>
      <c r="L113" s="27" t="s">
        <v>244</v>
      </c>
      <c r="M113" s="6"/>
      <c r="N113" s="23"/>
      <c r="O113" s="23"/>
      <c r="P113" s="23"/>
      <c r="Q113" s="23"/>
      <c r="R113" s="23"/>
      <c r="S113" s="23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ht="16.5" customHeight="1">
      <c r="A114" s="9" t="s">
        <v>34</v>
      </c>
      <c r="B114" s="10">
        <v>4.562160138826E12</v>
      </c>
      <c r="C114" s="10" t="s">
        <v>315</v>
      </c>
      <c r="D114" s="11" t="s">
        <v>316</v>
      </c>
      <c r="E114" s="12">
        <v>10.0</v>
      </c>
      <c r="F114" s="12">
        <v>1610.0</v>
      </c>
      <c r="G114" s="13">
        <f t="shared" si="77"/>
        <v>16100</v>
      </c>
      <c r="H114" s="11"/>
      <c r="I114" s="11"/>
      <c r="J114" s="14">
        <v>45978.0</v>
      </c>
      <c r="K114" s="15"/>
      <c r="L114" s="15" t="s">
        <v>244</v>
      </c>
      <c r="M114" s="15"/>
      <c r="N114" s="18" t="s">
        <v>277</v>
      </c>
      <c r="O114" s="12" t="s">
        <v>29</v>
      </c>
      <c r="P114" s="11" t="s">
        <v>317</v>
      </c>
      <c r="Q114" s="19">
        <f t="shared" ref="Q114:R114" si="81">E114</f>
        <v>10</v>
      </c>
      <c r="R114" s="19">
        <f t="shared" si="81"/>
        <v>1610</v>
      </c>
      <c r="S114" s="19">
        <f t="shared" ref="S114:S121" si="83">R114*Q114</f>
        <v>16100</v>
      </c>
      <c r="T114" s="17">
        <v>24.7</v>
      </c>
      <c r="U114" s="17" t="s">
        <v>318</v>
      </c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</row>
    <row r="115" ht="16.5" customHeight="1">
      <c r="A115" s="9" t="s">
        <v>48</v>
      </c>
      <c r="B115" s="10">
        <v>4.562160138802E12</v>
      </c>
      <c r="C115" s="10" t="s">
        <v>319</v>
      </c>
      <c r="D115" s="11" t="s">
        <v>320</v>
      </c>
      <c r="E115" s="12">
        <v>10.0</v>
      </c>
      <c r="F115" s="12">
        <v>549.0</v>
      </c>
      <c r="G115" s="13">
        <f t="shared" si="77"/>
        <v>5490</v>
      </c>
      <c r="H115" s="11"/>
      <c r="I115" s="11"/>
      <c r="J115" s="14">
        <v>45974.0</v>
      </c>
      <c r="K115" s="15"/>
      <c r="L115" s="15" t="s">
        <v>244</v>
      </c>
      <c r="M115" s="15"/>
      <c r="N115" s="18" t="s">
        <v>110</v>
      </c>
      <c r="O115" s="12" t="s">
        <v>29</v>
      </c>
      <c r="P115" s="11" t="s">
        <v>321</v>
      </c>
      <c r="Q115" s="19">
        <f t="shared" ref="Q115:R115" si="82">E115</f>
        <v>10</v>
      </c>
      <c r="R115" s="19">
        <f t="shared" si="82"/>
        <v>549</v>
      </c>
      <c r="S115" s="19">
        <f t="shared" si="83"/>
        <v>5490</v>
      </c>
      <c r="T115" s="17">
        <v>8.4</v>
      </c>
      <c r="U115" s="17" t="s">
        <v>322</v>
      </c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</row>
    <row r="116" ht="16.5" customHeight="1">
      <c r="A116" s="9" t="s">
        <v>48</v>
      </c>
      <c r="B116" s="10">
        <v>4.562160138802E12</v>
      </c>
      <c r="C116" s="10" t="s">
        <v>319</v>
      </c>
      <c r="D116" s="11" t="s">
        <v>320</v>
      </c>
      <c r="E116" s="12">
        <v>10.0</v>
      </c>
      <c r="F116" s="12">
        <v>549.0</v>
      </c>
      <c r="G116" s="13">
        <f t="shared" si="77"/>
        <v>5490</v>
      </c>
      <c r="H116" s="11" t="s">
        <v>323</v>
      </c>
      <c r="I116" s="11" t="s">
        <v>324</v>
      </c>
      <c r="J116" s="14">
        <v>45975.0</v>
      </c>
      <c r="K116" s="15"/>
      <c r="L116" s="15" t="s">
        <v>244</v>
      </c>
      <c r="M116" s="15"/>
      <c r="N116" s="18" t="s">
        <v>110</v>
      </c>
      <c r="O116" s="12" t="s">
        <v>29</v>
      </c>
      <c r="P116" s="11" t="s">
        <v>321</v>
      </c>
      <c r="Q116" s="19">
        <f t="shared" ref="Q116:R116" si="84">E116</f>
        <v>10</v>
      </c>
      <c r="R116" s="19">
        <f t="shared" si="84"/>
        <v>549</v>
      </c>
      <c r="S116" s="19">
        <f t="shared" si="83"/>
        <v>5490</v>
      </c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</row>
    <row r="117" ht="16.5" customHeight="1">
      <c r="A117" s="9" t="s">
        <v>34</v>
      </c>
      <c r="B117" s="10">
        <v>4.562160138796E12</v>
      </c>
      <c r="C117" s="10" t="s">
        <v>325</v>
      </c>
      <c r="D117" s="11" t="s">
        <v>326</v>
      </c>
      <c r="E117" s="12">
        <v>20.0</v>
      </c>
      <c r="F117" s="12">
        <v>549.0</v>
      </c>
      <c r="G117" s="13">
        <f t="shared" si="77"/>
        <v>10980</v>
      </c>
      <c r="H117" s="11"/>
      <c r="I117" s="11"/>
      <c r="J117" s="14">
        <v>45979.0</v>
      </c>
      <c r="K117" s="15"/>
      <c r="L117" s="15" t="s">
        <v>244</v>
      </c>
      <c r="M117" s="15"/>
      <c r="N117" s="18" t="s">
        <v>299</v>
      </c>
      <c r="O117" s="12" t="s">
        <v>29</v>
      </c>
      <c r="P117" s="11" t="s">
        <v>327</v>
      </c>
      <c r="Q117" s="19">
        <f t="shared" ref="Q117:R117" si="85">E117</f>
        <v>20</v>
      </c>
      <c r="R117" s="19">
        <f t="shared" si="85"/>
        <v>549</v>
      </c>
      <c r="S117" s="19">
        <f t="shared" si="83"/>
        <v>10980</v>
      </c>
      <c r="T117" s="17">
        <v>17.6</v>
      </c>
      <c r="U117" s="17" t="s">
        <v>328</v>
      </c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</row>
    <row r="118" ht="16.5" customHeight="1">
      <c r="A118" s="9" t="s">
        <v>34</v>
      </c>
      <c r="B118" s="10">
        <v>4.56216013868E12</v>
      </c>
      <c r="C118" s="10" t="s">
        <v>329</v>
      </c>
      <c r="D118" s="11" t="s">
        <v>330</v>
      </c>
      <c r="E118" s="12">
        <v>5.0</v>
      </c>
      <c r="F118" s="12">
        <v>1610.0</v>
      </c>
      <c r="G118" s="13">
        <f t="shared" si="77"/>
        <v>8050</v>
      </c>
      <c r="H118" s="11"/>
      <c r="I118" s="11"/>
      <c r="J118" s="14">
        <v>45971.0</v>
      </c>
      <c r="K118" s="15"/>
      <c r="L118" s="15" t="s">
        <v>244</v>
      </c>
      <c r="M118" s="15"/>
      <c r="N118" s="18" t="s">
        <v>220</v>
      </c>
      <c r="O118" s="12" t="s">
        <v>29</v>
      </c>
      <c r="P118" s="11" t="s">
        <v>331</v>
      </c>
      <c r="Q118" s="19">
        <f t="shared" ref="Q118:R118" si="86">E118</f>
        <v>5</v>
      </c>
      <c r="R118" s="19">
        <f t="shared" si="86"/>
        <v>1610</v>
      </c>
      <c r="S118" s="19">
        <f t="shared" si="83"/>
        <v>8050</v>
      </c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</row>
    <row r="119" ht="16.5" customHeight="1">
      <c r="A119" s="9" t="s">
        <v>34</v>
      </c>
      <c r="B119" s="10">
        <v>4.562160138604E12</v>
      </c>
      <c r="C119" s="10" t="s">
        <v>332</v>
      </c>
      <c r="D119" s="11" t="s">
        <v>333</v>
      </c>
      <c r="E119" s="12">
        <v>5.0</v>
      </c>
      <c r="F119" s="12">
        <v>1610.0</v>
      </c>
      <c r="G119" s="13">
        <f t="shared" si="77"/>
        <v>8050</v>
      </c>
      <c r="H119" s="11"/>
      <c r="I119" s="11"/>
      <c r="J119" s="14">
        <v>45972.0</v>
      </c>
      <c r="K119" s="15"/>
      <c r="L119" s="15" t="s">
        <v>244</v>
      </c>
      <c r="M119" s="15"/>
      <c r="N119" s="18" t="s">
        <v>220</v>
      </c>
      <c r="O119" s="12" t="s">
        <v>29</v>
      </c>
      <c r="P119" s="11" t="s">
        <v>334</v>
      </c>
      <c r="Q119" s="19">
        <f t="shared" ref="Q119:R119" si="87">E119</f>
        <v>5</v>
      </c>
      <c r="R119" s="19">
        <f t="shared" si="87"/>
        <v>1610</v>
      </c>
      <c r="S119" s="19">
        <f t="shared" si="83"/>
        <v>8050</v>
      </c>
      <c r="T119" s="17">
        <v>24.3</v>
      </c>
      <c r="U119" s="17" t="s">
        <v>335</v>
      </c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</row>
    <row r="120" ht="16.5" customHeight="1">
      <c r="A120" s="9" t="s">
        <v>34</v>
      </c>
      <c r="B120" s="10">
        <v>4.562160138598E12</v>
      </c>
      <c r="C120" s="10" t="s">
        <v>336</v>
      </c>
      <c r="D120" s="11" t="s">
        <v>337</v>
      </c>
      <c r="E120" s="12">
        <v>2.0</v>
      </c>
      <c r="F120" s="12">
        <v>1555.0</v>
      </c>
      <c r="G120" s="13">
        <f t="shared" si="77"/>
        <v>3110</v>
      </c>
      <c r="H120" s="11"/>
      <c r="I120" s="11"/>
      <c r="J120" s="14">
        <v>45972.0</v>
      </c>
      <c r="K120" s="15"/>
      <c r="L120" s="15" t="s">
        <v>244</v>
      </c>
      <c r="M120" s="15"/>
      <c r="N120" s="18" t="s">
        <v>252</v>
      </c>
      <c r="O120" s="12" t="s">
        <v>29</v>
      </c>
      <c r="P120" s="11" t="s">
        <v>338</v>
      </c>
      <c r="Q120" s="19">
        <f t="shared" ref="Q120:R120" si="88">E120</f>
        <v>2</v>
      </c>
      <c r="R120" s="19">
        <f t="shared" si="88"/>
        <v>1555</v>
      </c>
      <c r="S120" s="19">
        <f t="shared" si="83"/>
        <v>3110</v>
      </c>
      <c r="T120" s="17">
        <v>24.4</v>
      </c>
      <c r="U120" s="17" t="s">
        <v>265</v>
      </c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</row>
    <row r="121" ht="16.5" customHeight="1">
      <c r="A121" s="9" t="s">
        <v>13</v>
      </c>
      <c r="B121" s="10">
        <v>4.562160138598E12</v>
      </c>
      <c r="C121" s="10" t="s">
        <v>336</v>
      </c>
      <c r="D121" s="11" t="s">
        <v>337</v>
      </c>
      <c r="E121" s="12">
        <v>5.0</v>
      </c>
      <c r="F121" s="12">
        <v>1555.0</v>
      </c>
      <c r="G121" s="13">
        <f t="shared" si="77"/>
        <v>7775</v>
      </c>
      <c r="H121" s="11"/>
      <c r="I121" s="11"/>
      <c r="J121" s="14">
        <v>45972.0</v>
      </c>
      <c r="K121" s="15"/>
      <c r="L121" s="15" t="s">
        <v>244</v>
      </c>
      <c r="M121" s="15"/>
      <c r="N121" s="18" t="s">
        <v>28</v>
      </c>
      <c r="O121" s="12" t="s">
        <v>29</v>
      </c>
      <c r="P121" s="11" t="s">
        <v>338</v>
      </c>
      <c r="Q121" s="19">
        <f t="shared" ref="Q121:R121" si="89">E121</f>
        <v>5</v>
      </c>
      <c r="R121" s="19">
        <f t="shared" si="89"/>
        <v>1555</v>
      </c>
      <c r="S121" s="19">
        <f t="shared" si="83"/>
        <v>7775</v>
      </c>
      <c r="T121" s="17">
        <v>24.7</v>
      </c>
      <c r="U121" s="17" t="s">
        <v>265</v>
      </c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</row>
    <row r="122" ht="16.5" customHeight="1">
      <c r="A122" s="9" t="s">
        <v>34</v>
      </c>
      <c r="B122" s="10">
        <v>4.562160138581E12</v>
      </c>
      <c r="C122" s="10" t="s">
        <v>339</v>
      </c>
      <c r="D122" s="11" t="s">
        <v>340</v>
      </c>
      <c r="E122" s="12">
        <v>5.0</v>
      </c>
      <c r="F122" s="12">
        <v>1555.0</v>
      </c>
      <c r="G122" s="13">
        <f t="shared" si="77"/>
        <v>7775</v>
      </c>
      <c r="H122" s="11"/>
      <c r="I122" s="11"/>
      <c r="J122" s="14">
        <v>45947.0</v>
      </c>
      <c r="K122" s="15"/>
      <c r="L122" s="15" t="s">
        <v>244</v>
      </c>
      <c r="M122" s="15"/>
      <c r="N122" s="18"/>
      <c r="O122" s="12"/>
      <c r="P122" s="11"/>
      <c r="Q122" s="19"/>
      <c r="R122" s="19"/>
      <c r="S122" s="19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</row>
    <row r="123" ht="16.5" customHeight="1">
      <c r="A123" s="9" t="s">
        <v>34</v>
      </c>
      <c r="B123" s="10">
        <v>4.562160138345E12</v>
      </c>
      <c r="C123" s="10" t="s">
        <v>341</v>
      </c>
      <c r="D123" s="11" t="s">
        <v>342</v>
      </c>
      <c r="E123" s="12">
        <v>5.0</v>
      </c>
      <c r="F123" s="12">
        <v>1610.0</v>
      </c>
      <c r="G123" s="13">
        <f t="shared" si="77"/>
        <v>8050</v>
      </c>
      <c r="H123" s="11"/>
      <c r="I123" s="11"/>
      <c r="J123" s="14">
        <v>45978.0</v>
      </c>
      <c r="K123" s="15"/>
      <c r="L123" s="15" t="s">
        <v>244</v>
      </c>
      <c r="M123" s="15"/>
      <c r="N123" s="18" t="s">
        <v>57</v>
      </c>
      <c r="O123" s="12" t="s">
        <v>29</v>
      </c>
      <c r="P123" s="11" t="s">
        <v>343</v>
      </c>
      <c r="Q123" s="19">
        <f t="shared" ref="Q123:R123" si="90">E123</f>
        <v>5</v>
      </c>
      <c r="R123" s="19">
        <f t="shared" si="90"/>
        <v>1610</v>
      </c>
      <c r="S123" s="19">
        <f t="shared" ref="S123:S138" si="92">R123*Q123</f>
        <v>8050</v>
      </c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</row>
    <row r="124" ht="16.5" customHeight="1">
      <c r="A124" s="9" t="s">
        <v>34</v>
      </c>
      <c r="B124" s="10">
        <v>4.562160138345E12</v>
      </c>
      <c r="C124" s="10" t="s">
        <v>341</v>
      </c>
      <c r="D124" s="11" t="s">
        <v>342</v>
      </c>
      <c r="E124" s="12">
        <v>2.0</v>
      </c>
      <c r="F124" s="12">
        <v>1610.0</v>
      </c>
      <c r="G124" s="13">
        <f t="shared" si="77"/>
        <v>3220</v>
      </c>
      <c r="H124" s="11"/>
      <c r="I124" s="11"/>
      <c r="J124" s="14">
        <v>45978.0</v>
      </c>
      <c r="K124" s="15"/>
      <c r="L124" s="15" t="s">
        <v>244</v>
      </c>
      <c r="M124" s="15"/>
      <c r="N124" s="18" t="s">
        <v>277</v>
      </c>
      <c r="O124" s="12" t="s">
        <v>29</v>
      </c>
      <c r="P124" s="11" t="s">
        <v>343</v>
      </c>
      <c r="Q124" s="19">
        <f t="shared" ref="Q124:R124" si="91">E124</f>
        <v>2</v>
      </c>
      <c r="R124" s="19">
        <f t="shared" si="91"/>
        <v>1610</v>
      </c>
      <c r="S124" s="19">
        <f t="shared" si="92"/>
        <v>3220</v>
      </c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</row>
    <row r="125" ht="16.5" customHeight="1">
      <c r="A125" s="9" t="s">
        <v>34</v>
      </c>
      <c r="B125" s="10">
        <v>4.562160138345E12</v>
      </c>
      <c r="C125" s="10" t="s">
        <v>341</v>
      </c>
      <c r="D125" s="11" t="s">
        <v>342</v>
      </c>
      <c r="E125" s="12">
        <v>3.0</v>
      </c>
      <c r="F125" s="12">
        <v>1610.0</v>
      </c>
      <c r="G125" s="13">
        <f t="shared" si="77"/>
        <v>4830</v>
      </c>
      <c r="H125" s="11"/>
      <c r="I125" s="11"/>
      <c r="J125" s="14">
        <v>45978.0</v>
      </c>
      <c r="K125" s="15"/>
      <c r="L125" s="15" t="s">
        <v>244</v>
      </c>
      <c r="M125" s="15"/>
      <c r="N125" s="18" t="s">
        <v>127</v>
      </c>
      <c r="O125" s="12" t="s">
        <v>29</v>
      </c>
      <c r="P125" s="11" t="s">
        <v>343</v>
      </c>
      <c r="Q125" s="19">
        <f t="shared" ref="Q125:R125" si="93">E125</f>
        <v>3</v>
      </c>
      <c r="R125" s="19">
        <f t="shared" si="93"/>
        <v>1610</v>
      </c>
      <c r="S125" s="19">
        <f t="shared" si="92"/>
        <v>4830</v>
      </c>
      <c r="T125" s="17">
        <v>17.6</v>
      </c>
      <c r="U125" s="17" t="s">
        <v>112</v>
      </c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</row>
    <row r="126" ht="16.5" customHeight="1">
      <c r="A126" s="9" t="s">
        <v>13</v>
      </c>
      <c r="B126" s="10">
        <v>4.562160138345E12</v>
      </c>
      <c r="C126" s="10" t="s">
        <v>341</v>
      </c>
      <c r="D126" s="11" t="s">
        <v>342</v>
      </c>
      <c r="E126" s="12">
        <v>5.0</v>
      </c>
      <c r="F126" s="12">
        <v>1610.0</v>
      </c>
      <c r="G126" s="13">
        <f t="shared" si="77"/>
        <v>8050</v>
      </c>
      <c r="H126" s="11"/>
      <c r="I126" s="11"/>
      <c r="J126" s="14">
        <v>45919.0</v>
      </c>
      <c r="K126" s="15"/>
      <c r="L126" s="15" t="s">
        <v>244</v>
      </c>
      <c r="M126" s="15"/>
      <c r="N126" s="18" t="s">
        <v>254</v>
      </c>
      <c r="O126" s="12" t="s">
        <v>29</v>
      </c>
      <c r="P126" s="11" t="s">
        <v>343</v>
      </c>
      <c r="Q126" s="19">
        <f t="shared" ref="Q126:R126" si="94">E126</f>
        <v>5</v>
      </c>
      <c r="R126" s="19">
        <f t="shared" si="94"/>
        <v>1610</v>
      </c>
      <c r="S126" s="19">
        <f t="shared" si="92"/>
        <v>8050</v>
      </c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</row>
    <row r="127" ht="16.5" customHeight="1">
      <c r="A127" s="9" t="s">
        <v>13</v>
      </c>
      <c r="B127" s="10">
        <v>4.562160138345E12</v>
      </c>
      <c r="C127" s="10" t="s">
        <v>341</v>
      </c>
      <c r="D127" s="11" t="s">
        <v>342</v>
      </c>
      <c r="E127" s="12">
        <v>1.0</v>
      </c>
      <c r="F127" s="12">
        <v>1610.0</v>
      </c>
      <c r="G127" s="13">
        <f t="shared" si="77"/>
        <v>1610</v>
      </c>
      <c r="H127" s="11"/>
      <c r="I127" s="11"/>
      <c r="J127" s="14">
        <v>45972.0</v>
      </c>
      <c r="K127" s="15"/>
      <c r="L127" s="15" t="s">
        <v>244</v>
      </c>
      <c r="M127" s="15"/>
      <c r="N127" s="18" t="s">
        <v>152</v>
      </c>
      <c r="O127" s="12" t="s">
        <v>29</v>
      </c>
      <c r="P127" s="11" t="s">
        <v>343</v>
      </c>
      <c r="Q127" s="19">
        <f t="shared" ref="Q127:R127" si="95">E127</f>
        <v>1</v>
      </c>
      <c r="R127" s="19">
        <f t="shared" si="95"/>
        <v>1610</v>
      </c>
      <c r="S127" s="19">
        <f t="shared" si="92"/>
        <v>1610</v>
      </c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</row>
    <row r="128" ht="16.5" customHeight="1">
      <c r="A128" s="9" t="s">
        <v>13</v>
      </c>
      <c r="B128" s="10">
        <v>4.562160138345E12</v>
      </c>
      <c r="C128" s="10" t="s">
        <v>341</v>
      </c>
      <c r="D128" s="11" t="s">
        <v>342</v>
      </c>
      <c r="E128" s="12">
        <v>2.0</v>
      </c>
      <c r="F128" s="12">
        <v>1610.0</v>
      </c>
      <c r="G128" s="13">
        <f t="shared" si="77"/>
        <v>3220</v>
      </c>
      <c r="H128" s="11"/>
      <c r="I128" s="11"/>
      <c r="J128" s="14">
        <v>45972.0</v>
      </c>
      <c r="K128" s="15"/>
      <c r="L128" s="15" t="s">
        <v>244</v>
      </c>
      <c r="M128" s="15"/>
      <c r="N128" s="18" t="s">
        <v>245</v>
      </c>
      <c r="O128" s="12" t="s">
        <v>29</v>
      </c>
      <c r="P128" s="11" t="s">
        <v>343</v>
      </c>
      <c r="Q128" s="19">
        <f t="shared" ref="Q128:R128" si="96">E128</f>
        <v>2</v>
      </c>
      <c r="R128" s="19">
        <f t="shared" si="96"/>
        <v>1610</v>
      </c>
      <c r="S128" s="19">
        <f t="shared" si="92"/>
        <v>3220</v>
      </c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</row>
    <row r="129" ht="16.5" customHeight="1">
      <c r="A129" s="9" t="s">
        <v>34</v>
      </c>
      <c r="B129" s="10">
        <v>4.562160138154E12</v>
      </c>
      <c r="C129" s="10" t="s">
        <v>344</v>
      </c>
      <c r="D129" s="11" t="s">
        <v>345</v>
      </c>
      <c r="E129" s="12">
        <v>10.0</v>
      </c>
      <c r="F129" s="12">
        <v>3308.0</v>
      </c>
      <c r="G129" s="13">
        <f t="shared" si="77"/>
        <v>33080</v>
      </c>
      <c r="H129" s="11"/>
      <c r="I129" s="11"/>
      <c r="J129" s="14">
        <v>45978.0</v>
      </c>
      <c r="K129" s="15"/>
      <c r="L129" s="15" t="s">
        <v>244</v>
      </c>
      <c r="M129" s="15"/>
      <c r="N129" s="18" t="s">
        <v>346</v>
      </c>
      <c r="O129" s="12" t="s">
        <v>29</v>
      </c>
      <c r="P129" s="11" t="s">
        <v>347</v>
      </c>
      <c r="Q129" s="19">
        <f t="shared" ref="Q129:R129" si="97">E129</f>
        <v>10</v>
      </c>
      <c r="R129" s="19">
        <f t="shared" si="97"/>
        <v>3308</v>
      </c>
      <c r="S129" s="19">
        <f t="shared" si="92"/>
        <v>33080</v>
      </c>
      <c r="T129" s="17">
        <v>24.1</v>
      </c>
      <c r="U129" s="17" t="s">
        <v>265</v>
      </c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</row>
    <row r="130" ht="18.75" customHeight="1">
      <c r="A130" s="29" t="s">
        <v>34</v>
      </c>
      <c r="B130" s="30">
        <v>4.562160138147E12</v>
      </c>
      <c r="C130" s="30" t="s">
        <v>348</v>
      </c>
      <c r="D130" s="8" t="s">
        <v>349</v>
      </c>
      <c r="E130" s="12">
        <v>10.0</v>
      </c>
      <c r="F130" s="12">
        <v>2867.0</v>
      </c>
      <c r="G130" s="13">
        <f t="shared" si="77"/>
        <v>28670</v>
      </c>
      <c r="H130" s="8"/>
      <c r="I130" s="8"/>
      <c r="J130" s="31">
        <v>45978.0</v>
      </c>
      <c r="K130" s="15"/>
      <c r="L130" s="15" t="s">
        <v>244</v>
      </c>
      <c r="M130" s="15"/>
      <c r="N130" s="16" t="s">
        <v>346</v>
      </c>
      <c r="O130" s="15" t="s">
        <v>29</v>
      </c>
      <c r="P130" s="8" t="s">
        <v>350</v>
      </c>
      <c r="Q130" s="17">
        <f t="shared" ref="Q130:R130" si="98">E130</f>
        <v>10</v>
      </c>
      <c r="R130" s="17">
        <f t="shared" si="98"/>
        <v>2867</v>
      </c>
      <c r="S130" s="17">
        <f t="shared" si="92"/>
        <v>28670</v>
      </c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</row>
    <row r="131" ht="18.75" customHeight="1">
      <c r="A131" s="29" t="s">
        <v>351</v>
      </c>
      <c r="B131" s="30">
        <v>4.562160137348E12</v>
      </c>
      <c r="C131" s="30" t="s">
        <v>352</v>
      </c>
      <c r="D131" s="8" t="s">
        <v>353</v>
      </c>
      <c r="E131" s="15">
        <v>3.0</v>
      </c>
      <c r="F131" s="15">
        <v>3308.0</v>
      </c>
      <c r="G131" s="32">
        <f t="shared" si="77"/>
        <v>9924</v>
      </c>
      <c r="H131" s="8"/>
      <c r="I131" s="8"/>
      <c r="J131" s="31">
        <v>45940.0</v>
      </c>
      <c r="K131" s="15"/>
      <c r="L131" s="15" t="s">
        <v>244</v>
      </c>
      <c r="M131" s="15"/>
      <c r="N131" s="16" t="s">
        <v>354</v>
      </c>
      <c r="O131" s="15" t="s">
        <v>29</v>
      </c>
      <c r="P131" s="8" t="s">
        <v>355</v>
      </c>
      <c r="Q131" s="17">
        <f t="shared" ref="Q131:R131" si="99">E131</f>
        <v>3</v>
      </c>
      <c r="R131" s="17">
        <f t="shared" si="99"/>
        <v>3308</v>
      </c>
      <c r="S131" s="17">
        <f t="shared" si="92"/>
        <v>9924</v>
      </c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</row>
    <row r="132" ht="18.75" customHeight="1">
      <c r="A132" s="29" t="s">
        <v>13</v>
      </c>
      <c r="B132" s="30">
        <v>4.562160137348E12</v>
      </c>
      <c r="C132" s="30" t="s">
        <v>352</v>
      </c>
      <c r="D132" s="8" t="s">
        <v>353</v>
      </c>
      <c r="E132" s="15">
        <v>3.0</v>
      </c>
      <c r="F132" s="15">
        <v>3308.0</v>
      </c>
      <c r="G132" s="32">
        <f t="shared" si="77"/>
        <v>9924</v>
      </c>
      <c r="H132" s="8"/>
      <c r="I132" s="8"/>
      <c r="J132" s="31">
        <v>45972.0</v>
      </c>
      <c r="K132" s="15"/>
      <c r="L132" s="15" t="s">
        <v>244</v>
      </c>
      <c r="M132" s="15"/>
      <c r="N132" s="16" t="s">
        <v>152</v>
      </c>
      <c r="O132" s="15" t="s">
        <v>29</v>
      </c>
      <c r="P132" s="8" t="s">
        <v>355</v>
      </c>
      <c r="Q132" s="17">
        <f t="shared" ref="Q132:R132" si="100">E132</f>
        <v>3</v>
      </c>
      <c r="R132" s="17">
        <f t="shared" si="100"/>
        <v>3308</v>
      </c>
      <c r="S132" s="17">
        <f t="shared" si="92"/>
        <v>9924</v>
      </c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</row>
    <row r="133" ht="11.25" customHeight="1">
      <c r="A133" s="9" t="s">
        <v>34</v>
      </c>
      <c r="B133" s="10">
        <v>4.562160137096E12</v>
      </c>
      <c r="C133" s="10" t="s">
        <v>356</v>
      </c>
      <c r="D133" s="11" t="s">
        <v>357</v>
      </c>
      <c r="E133" s="12">
        <v>10.0</v>
      </c>
      <c r="F133" s="12">
        <v>3308.0</v>
      </c>
      <c r="G133" s="13">
        <f t="shared" si="77"/>
        <v>33080</v>
      </c>
      <c r="H133" s="11"/>
      <c r="I133" s="11"/>
      <c r="J133" s="14">
        <v>45972.0</v>
      </c>
      <c r="K133" s="15"/>
      <c r="L133" s="15" t="s">
        <v>244</v>
      </c>
      <c r="M133" s="15"/>
      <c r="N133" s="33" t="s">
        <v>252</v>
      </c>
      <c r="O133" s="34" t="s">
        <v>29</v>
      </c>
      <c r="P133" s="35" t="s">
        <v>358</v>
      </c>
      <c r="Q133" s="36">
        <f t="shared" ref="Q133:R133" si="101">E133</f>
        <v>10</v>
      </c>
      <c r="R133" s="36">
        <f t="shared" si="101"/>
        <v>3308</v>
      </c>
      <c r="S133" s="36">
        <f t="shared" si="92"/>
        <v>33080</v>
      </c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</row>
    <row r="134" ht="16.5" customHeight="1">
      <c r="A134" s="9" t="s">
        <v>42</v>
      </c>
      <c r="B134" s="10">
        <v>4.562160137096E12</v>
      </c>
      <c r="C134" s="10" t="s">
        <v>356</v>
      </c>
      <c r="D134" s="11" t="s">
        <v>357</v>
      </c>
      <c r="E134" s="12">
        <v>5.0</v>
      </c>
      <c r="F134" s="12">
        <v>3308.0</v>
      </c>
      <c r="G134" s="13">
        <f t="shared" si="77"/>
        <v>16540</v>
      </c>
      <c r="H134" s="11"/>
      <c r="I134" s="11"/>
      <c r="J134" s="14">
        <v>45951.0</v>
      </c>
      <c r="K134" s="15"/>
      <c r="L134" s="15" t="s">
        <v>244</v>
      </c>
      <c r="M134" s="15"/>
      <c r="N134" s="18" t="s">
        <v>286</v>
      </c>
      <c r="O134" s="12" t="s">
        <v>29</v>
      </c>
      <c r="P134" s="11" t="s">
        <v>358</v>
      </c>
      <c r="Q134" s="19">
        <f t="shared" ref="Q134:R134" si="102">E134</f>
        <v>5</v>
      </c>
      <c r="R134" s="19">
        <f t="shared" si="102"/>
        <v>3308</v>
      </c>
      <c r="S134" s="19">
        <f t="shared" si="92"/>
        <v>16540</v>
      </c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</row>
    <row r="135" ht="16.5" customHeight="1">
      <c r="A135" s="9" t="s">
        <v>351</v>
      </c>
      <c r="B135" s="10">
        <v>4.562160137096E12</v>
      </c>
      <c r="C135" s="10" t="s">
        <v>356</v>
      </c>
      <c r="D135" s="11" t="s">
        <v>357</v>
      </c>
      <c r="E135" s="12">
        <v>2.0</v>
      </c>
      <c r="F135" s="12">
        <v>3308.0</v>
      </c>
      <c r="G135" s="13">
        <f t="shared" si="77"/>
        <v>6616</v>
      </c>
      <c r="H135" s="11"/>
      <c r="I135" s="11"/>
      <c r="J135" s="14">
        <v>45933.0</v>
      </c>
      <c r="K135" s="15"/>
      <c r="L135" s="15" t="s">
        <v>244</v>
      </c>
      <c r="M135" s="15"/>
      <c r="N135" s="18" t="s">
        <v>354</v>
      </c>
      <c r="O135" s="12" t="s">
        <v>29</v>
      </c>
      <c r="P135" s="11" t="s">
        <v>358</v>
      </c>
      <c r="Q135" s="19">
        <f t="shared" ref="Q135:R135" si="103">E135</f>
        <v>2</v>
      </c>
      <c r="R135" s="19">
        <f t="shared" si="103"/>
        <v>3308</v>
      </c>
      <c r="S135" s="19">
        <f t="shared" si="92"/>
        <v>6616</v>
      </c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</row>
    <row r="136" ht="16.5" customHeight="1">
      <c r="A136" s="9" t="s">
        <v>34</v>
      </c>
      <c r="B136" s="10">
        <v>4.562160137041E12</v>
      </c>
      <c r="C136" s="10" t="s">
        <v>359</v>
      </c>
      <c r="D136" s="11" t="s">
        <v>360</v>
      </c>
      <c r="E136" s="12">
        <v>10.0</v>
      </c>
      <c r="F136" s="12">
        <v>1786.0</v>
      </c>
      <c r="G136" s="13">
        <f t="shared" si="77"/>
        <v>17860</v>
      </c>
      <c r="H136" s="11"/>
      <c r="I136" s="11"/>
      <c r="J136" s="14">
        <v>45972.0</v>
      </c>
      <c r="K136" s="15"/>
      <c r="L136" s="15" t="s">
        <v>244</v>
      </c>
      <c r="M136" s="15"/>
      <c r="N136" s="18" t="s">
        <v>220</v>
      </c>
      <c r="O136" s="12" t="s">
        <v>29</v>
      </c>
      <c r="P136" s="11" t="s">
        <v>361</v>
      </c>
      <c r="Q136" s="19">
        <f t="shared" ref="Q136:R136" si="104">E136</f>
        <v>10</v>
      </c>
      <c r="R136" s="19">
        <f t="shared" si="104"/>
        <v>1786</v>
      </c>
      <c r="S136" s="19">
        <f t="shared" si="92"/>
        <v>17860</v>
      </c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</row>
    <row r="137" ht="16.5" customHeight="1">
      <c r="A137" s="9" t="s">
        <v>34</v>
      </c>
      <c r="B137" s="10">
        <v>4.562160136815E12</v>
      </c>
      <c r="C137" s="10" t="s">
        <v>362</v>
      </c>
      <c r="D137" s="11" t="s">
        <v>363</v>
      </c>
      <c r="E137" s="12">
        <v>5.0</v>
      </c>
      <c r="F137" s="12">
        <v>3341.0</v>
      </c>
      <c r="G137" s="13">
        <f t="shared" si="77"/>
        <v>16705</v>
      </c>
      <c r="H137" s="11"/>
      <c r="I137" s="11"/>
      <c r="J137" s="14">
        <v>45978.0</v>
      </c>
      <c r="K137" s="15"/>
      <c r="L137" s="15" t="s">
        <v>244</v>
      </c>
      <c r="M137" s="15"/>
      <c r="N137" s="18" t="s">
        <v>57</v>
      </c>
      <c r="O137" s="12" t="s">
        <v>29</v>
      </c>
      <c r="P137" s="11" t="s">
        <v>364</v>
      </c>
      <c r="Q137" s="19">
        <f t="shared" ref="Q137:R137" si="105">E137</f>
        <v>5</v>
      </c>
      <c r="R137" s="19">
        <f t="shared" si="105"/>
        <v>3341</v>
      </c>
      <c r="S137" s="19">
        <f t="shared" si="92"/>
        <v>16705</v>
      </c>
      <c r="T137" s="17">
        <v>24.9</v>
      </c>
      <c r="U137" s="17" t="s">
        <v>318</v>
      </c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</row>
    <row r="138" ht="16.5" customHeight="1">
      <c r="A138" s="9" t="s">
        <v>13</v>
      </c>
      <c r="B138" s="10">
        <v>4.562160136488E12</v>
      </c>
      <c r="C138" s="10" t="s">
        <v>365</v>
      </c>
      <c r="D138" s="11" t="s">
        <v>366</v>
      </c>
      <c r="E138" s="12">
        <v>10.0</v>
      </c>
      <c r="F138" s="12">
        <v>1786.0</v>
      </c>
      <c r="G138" s="13">
        <f t="shared" si="77"/>
        <v>17860</v>
      </c>
      <c r="H138" s="11"/>
      <c r="I138" s="11"/>
      <c r="J138" s="14">
        <v>45972.0</v>
      </c>
      <c r="K138" s="15"/>
      <c r="L138" s="15" t="s">
        <v>244</v>
      </c>
      <c r="M138" s="15"/>
      <c r="N138" s="18" t="s">
        <v>28</v>
      </c>
      <c r="O138" s="12" t="s">
        <v>29</v>
      </c>
      <c r="P138" s="11" t="s">
        <v>367</v>
      </c>
      <c r="Q138" s="19">
        <f t="shared" ref="Q138:R138" si="106">E138</f>
        <v>10</v>
      </c>
      <c r="R138" s="19">
        <f t="shared" si="106"/>
        <v>1786</v>
      </c>
      <c r="S138" s="19">
        <f t="shared" si="92"/>
        <v>17860</v>
      </c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</row>
    <row r="139" ht="16.5" customHeight="1">
      <c r="A139" s="9" t="s">
        <v>7</v>
      </c>
      <c r="B139" s="10">
        <v>4.562160136259E12</v>
      </c>
      <c r="C139" s="10" t="s">
        <v>368</v>
      </c>
      <c r="D139" s="11" t="s">
        <v>369</v>
      </c>
      <c r="E139" s="12">
        <v>10.0</v>
      </c>
      <c r="F139" s="12">
        <v>3099.0</v>
      </c>
      <c r="G139" s="13">
        <f t="shared" si="77"/>
        <v>30990</v>
      </c>
      <c r="H139" s="11"/>
      <c r="I139" s="11"/>
      <c r="J139" s="14">
        <v>45902.0</v>
      </c>
      <c r="K139" s="15"/>
      <c r="L139" s="15" t="s">
        <v>244</v>
      </c>
      <c r="M139" s="15"/>
      <c r="N139" s="18"/>
      <c r="O139" s="12"/>
      <c r="P139" s="11"/>
      <c r="Q139" s="19"/>
      <c r="R139" s="19"/>
      <c r="S139" s="19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</row>
    <row r="140" ht="16.5" customHeight="1">
      <c r="A140" s="37" t="s">
        <v>34</v>
      </c>
      <c r="B140" s="38">
        <v>4.562160135849E12</v>
      </c>
      <c r="C140" s="38" t="s">
        <v>370</v>
      </c>
      <c r="D140" s="19" t="s">
        <v>371</v>
      </c>
      <c r="E140" s="39">
        <v>10.0</v>
      </c>
      <c r="F140" s="39">
        <v>3308.0</v>
      </c>
      <c r="G140" s="13">
        <f t="shared" si="77"/>
        <v>33080</v>
      </c>
      <c r="H140" s="19"/>
      <c r="I140" s="19"/>
      <c r="J140" s="40">
        <v>45978.0</v>
      </c>
      <c r="K140" s="41"/>
      <c r="L140" s="41" t="s">
        <v>244</v>
      </c>
      <c r="M140" s="41"/>
      <c r="N140" s="18" t="s">
        <v>372</v>
      </c>
      <c r="O140" s="39" t="s">
        <v>29</v>
      </c>
      <c r="P140" s="19" t="s">
        <v>373</v>
      </c>
      <c r="Q140" s="19">
        <f t="shared" ref="Q140:R140" si="107">E140</f>
        <v>10</v>
      </c>
      <c r="R140" s="19">
        <f t="shared" si="107"/>
        <v>3308</v>
      </c>
      <c r="S140" s="19">
        <f t="shared" ref="S140:S150" si="109">R140*Q140</f>
        <v>33080</v>
      </c>
      <c r="T140" s="17">
        <v>14.1</v>
      </c>
      <c r="U140" s="17" t="s">
        <v>374</v>
      </c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</row>
    <row r="141" ht="16.5" customHeight="1">
      <c r="A141" s="9" t="s">
        <v>34</v>
      </c>
      <c r="B141" s="10">
        <v>4.562160135139E12</v>
      </c>
      <c r="C141" s="10" t="s">
        <v>375</v>
      </c>
      <c r="D141" s="11" t="s">
        <v>376</v>
      </c>
      <c r="E141" s="12">
        <v>20.0</v>
      </c>
      <c r="F141" s="12">
        <v>3308.0</v>
      </c>
      <c r="G141" s="13">
        <f t="shared" si="77"/>
        <v>66160</v>
      </c>
      <c r="H141" s="11"/>
      <c r="I141" s="11"/>
      <c r="J141" s="14">
        <v>45972.0</v>
      </c>
      <c r="K141" s="15"/>
      <c r="L141" s="15" t="s">
        <v>244</v>
      </c>
      <c r="M141" s="15"/>
      <c r="N141" s="18" t="s">
        <v>377</v>
      </c>
      <c r="O141" s="12" t="s">
        <v>29</v>
      </c>
      <c r="P141" s="11" t="s">
        <v>378</v>
      </c>
      <c r="Q141" s="19">
        <f t="shared" ref="Q141:R141" si="108">E141</f>
        <v>20</v>
      </c>
      <c r="R141" s="19">
        <f t="shared" si="108"/>
        <v>3308</v>
      </c>
      <c r="S141" s="19">
        <f t="shared" si="109"/>
        <v>66160</v>
      </c>
      <c r="T141" s="17">
        <v>24.0</v>
      </c>
      <c r="U141" s="17" t="s">
        <v>265</v>
      </c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</row>
    <row r="142" ht="16.5" customHeight="1">
      <c r="A142" s="9" t="s">
        <v>13</v>
      </c>
      <c r="B142" s="10">
        <v>4.562160135047E12</v>
      </c>
      <c r="C142" s="10" t="s">
        <v>379</v>
      </c>
      <c r="D142" s="11" t="s">
        <v>380</v>
      </c>
      <c r="E142" s="12">
        <v>10.0</v>
      </c>
      <c r="F142" s="12">
        <v>2183.0</v>
      </c>
      <c r="G142" s="13">
        <f t="shared" si="77"/>
        <v>21830</v>
      </c>
      <c r="H142" s="11"/>
      <c r="I142" s="11"/>
      <c r="J142" s="14">
        <v>45944.0</v>
      </c>
      <c r="K142" s="15"/>
      <c r="L142" s="15" t="s">
        <v>244</v>
      </c>
      <c r="M142" s="15"/>
      <c r="N142" s="18" t="s">
        <v>254</v>
      </c>
      <c r="O142" s="12" t="s">
        <v>29</v>
      </c>
      <c r="P142" s="11" t="s">
        <v>381</v>
      </c>
      <c r="Q142" s="19">
        <f t="shared" ref="Q142:R142" si="110">E142</f>
        <v>10</v>
      </c>
      <c r="R142" s="19">
        <f t="shared" si="110"/>
        <v>2183</v>
      </c>
      <c r="S142" s="19">
        <f t="shared" si="109"/>
        <v>21830</v>
      </c>
      <c r="T142" s="17">
        <v>22.3</v>
      </c>
      <c r="U142" s="17" t="s">
        <v>265</v>
      </c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</row>
    <row r="143" ht="16.5" customHeight="1">
      <c r="A143" s="9" t="s">
        <v>13</v>
      </c>
      <c r="B143" s="10">
        <v>4.562160135047E12</v>
      </c>
      <c r="C143" s="10" t="s">
        <v>379</v>
      </c>
      <c r="D143" s="11" t="s">
        <v>380</v>
      </c>
      <c r="E143" s="12">
        <v>5.0</v>
      </c>
      <c r="F143" s="12">
        <v>2183.0</v>
      </c>
      <c r="G143" s="13">
        <f t="shared" si="77"/>
        <v>10915</v>
      </c>
      <c r="H143" s="11"/>
      <c r="I143" s="11"/>
      <c r="J143" s="14">
        <v>45972.0</v>
      </c>
      <c r="K143" s="15"/>
      <c r="L143" s="15" t="s">
        <v>244</v>
      </c>
      <c r="M143" s="15"/>
      <c r="N143" s="18" t="s">
        <v>28</v>
      </c>
      <c r="O143" s="12" t="s">
        <v>29</v>
      </c>
      <c r="P143" s="11" t="s">
        <v>381</v>
      </c>
      <c r="Q143" s="19">
        <f t="shared" ref="Q143:R143" si="111">E143</f>
        <v>5</v>
      </c>
      <c r="R143" s="19">
        <f t="shared" si="111"/>
        <v>2183</v>
      </c>
      <c r="S143" s="19">
        <f t="shared" si="109"/>
        <v>10915</v>
      </c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</row>
    <row r="144" ht="16.5" customHeight="1">
      <c r="A144" s="9" t="s">
        <v>34</v>
      </c>
      <c r="B144" s="10">
        <v>4.562160134415E12</v>
      </c>
      <c r="C144" s="10" t="s">
        <v>382</v>
      </c>
      <c r="D144" s="19" t="s">
        <v>383</v>
      </c>
      <c r="E144" s="12">
        <v>1.0</v>
      </c>
      <c r="F144" s="12">
        <v>3308.0</v>
      </c>
      <c r="G144" s="13">
        <f t="shared" si="77"/>
        <v>3308</v>
      </c>
      <c r="H144" s="11" t="s">
        <v>384</v>
      </c>
      <c r="I144" s="11"/>
      <c r="J144" s="14">
        <v>45869.0</v>
      </c>
      <c r="K144" s="15"/>
      <c r="L144" s="15" t="s">
        <v>244</v>
      </c>
      <c r="M144" s="15"/>
      <c r="N144" s="18" t="s">
        <v>68</v>
      </c>
      <c r="O144" s="12" t="s">
        <v>29</v>
      </c>
      <c r="P144" s="11" t="s">
        <v>385</v>
      </c>
      <c r="Q144" s="19">
        <f t="shared" ref="Q144:R144" si="112">E144</f>
        <v>1</v>
      </c>
      <c r="R144" s="19">
        <f t="shared" si="112"/>
        <v>3308</v>
      </c>
      <c r="S144" s="19">
        <f t="shared" si="109"/>
        <v>3308</v>
      </c>
      <c r="T144" s="17">
        <v>12.7</v>
      </c>
      <c r="U144" s="17" t="s">
        <v>46</v>
      </c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</row>
    <row r="145" ht="16.5" customHeight="1">
      <c r="A145" s="9" t="s">
        <v>34</v>
      </c>
      <c r="B145" s="10">
        <v>4.562160134415E12</v>
      </c>
      <c r="C145" s="10" t="s">
        <v>382</v>
      </c>
      <c r="D145" s="19" t="s">
        <v>383</v>
      </c>
      <c r="E145" s="12">
        <v>4.0</v>
      </c>
      <c r="F145" s="12">
        <v>3308.0</v>
      </c>
      <c r="G145" s="13">
        <f t="shared" si="77"/>
        <v>13232</v>
      </c>
      <c r="H145" s="11" t="s">
        <v>384</v>
      </c>
      <c r="I145" s="11"/>
      <c r="J145" s="14">
        <v>45869.0</v>
      </c>
      <c r="K145" s="15"/>
      <c r="L145" s="15" t="s">
        <v>244</v>
      </c>
      <c r="M145" s="15"/>
      <c r="N145" s="18" t="s">
        <v>386</v>
      </c>
      <c r="O145" s="12" t="s">
        <v>29</v>
      </c>
      <c r="P145" s="11" t="s">
        <v>385</v>
      </c>
      <c r="Q145" s="19">
        <f t="shared" ref="Q145:R145" si="113">E145</f>
        <v>4</v>
      </c>
      <c r="R145" s="19">
        <f t="shared" si="113"/>
        <v>3308</v>
      </c>
      <c r="S145" s="19">
        <f t="shared" si="109"/>
        <v>13232</v>
      </c>
      <c r="T145" s="17">
        <v>24.4</v>
      </c>
      <c r="U145" s="17" t="s">
        <v>265</v>
      </c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</row>
    <row r="146" ht="16.5" customHeight="1">
      <c r="A146" s="9" t="s">
        <v>34</v>
      </c>
      <c r="B146" s="10">
        <v>4.562160134415E12</v>
      </c>
      <c r="C146" s="10" t="s">
        <v>382</v>
      </c>
      <c r="D146" s="11" t="s">
        <v>383</v>
      </c>
      <c r="E146" s="12">
        <v>15.0</v>
      </c>
      <c r="F146" s="12">
        <v>3308.0</v>
      </c>
      <c r="G146" s="13">
        <f t="shared" si="77"/>
        <v>49620</v>
      </c>
      <c r="H146" s="11" t="s">
        <v>384</v>
      </c>
      <c r="I146" s="11"/>
      <c r="J146" s="14">
        <v>45974.0</v>
      </c>
      <c r="K146" s="15"/>
      <c r="L146" s="15" t="s">
        <v>244</v>
      </c>
      <c r="M146" s="15"/>
      <c r="N146" s="18" t="s">
        <v>386</v>
      </c>
      <c r="O146" s="12" t="s">
        <v>29</v>
      </c>
      <c r="P146" s="11" t="s">
        <v>385</v>
      </c>
      <c r="Q146" s="19">
        <f t="shared" ref="Q146:R146" si="114">E146</f>
        <v>15</v>
      </c>
      <c r="R146" s="19">
        <f t="shared" si="114"/>
        <v>3308</v>
      </c>
      <c r="S146" s="19">
        <f t="shared" si="109"/>
        <v>49620</v>
      </c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</row>
    <row r="147" ht="16.5" customHeight="1">
      <c r="A147" s="9" t="s">
        <v>42</v>
      </c>
      <c r="B147" s="10">
        <v>4.562160134415E12</v>
      </c>
      <c r="C147" s="10" t="s">
        <v>382</v>
      </c>
      <c r="D147" s="11" t="s">
        <v>383</v>
      </c>
      <c r="E147" s="12">
        <v>7.0</v>
      </c>
      <c r="F147" s="12">
        <v>3308.0</v>
      </c>
      <c r="G147" s="13">
        <f t="shared" si="77"/>
        <v>23156</v>
      </c>
      <c r="H147" s="11"/>
      <c r="I147" s="11"/>
      <c r="J147" s="14">
        <v>45950.0</v>
      </c>
      <c r="K147" s="15"/>
      <c r="L147" s="15" t="s">
        <v>244</v>
      </c>
      <c r="M147" s="15"/>
      <c r="N147" s="18" t="s">
        <v>387</v>
      </c>
      <c r="O147" s="12" t="s">
        <v>29</v>
      </c>
      <c r="P147" s="11" t="s">
        <v>385</v>
      </c>
      <c r="Q147" s="19">
        <f t="shared" ref="Q147:R147" si="115">E147</f>
        <v>7</v>
      </c>
      <c r="R147" s="19">
        <f t="shared" si="115"/>
        <v>3308</v>
      </c>
      <c r="S147" s="19">
        <f t="shared" si="109"/>
        <v>23156</v>
      </c>
      <c r="T147" s="17">
        <v>9.5</v>
      </c>
      <c r="U147" s="17" t="s">
        <v>388</v>
      </c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</row>
    <row r="148" ht="18.75" customHeight="1">
      <c r="A148" s="9" t="s">
        <v>351</v>
      </c>
      <c r="B148" s="10">
        <v>4.562160134415E12</v>
      </c>
      <c r="C148" s="10" t="s">
        <v>382</v>
      </c>
      <c r="D148" s="11" t="s">
        <v>383</v>
      </c>
      <c r="E148" s="12">
        <v>4.0</v>
      </c>
      <c r="F148" s="12">
        <v>3308.0</v>
      </c>
      <c r="G148" s="13">
        <f t="shared" si="77"/>
        <v>13232</v>
      </c>
      <c r="H148" s="11"/>
      <c r="I148" s="11"/>
      <c r="J148" s="14">
        <v>45933.0</v>
      </c>
      <c r="K148" s="15"/>
      <c r="L148" s="15" t="s">
        <v>244</v>
      </c>
      <c r="M148" s="15"/>
      <c r="N148" s="18" t="s">
        <v>354</v>
      </c>
      <c r="O148" s="12" t="s">
        <v>29</v>
      </c>
      <c r="P148" s="11" t="s">
        <v>385</v>
      </c>
      <c r="Q148" s="19">
        <f t="shared" ref="Q148:R148" si="116">E148</f>
        <v>4</v>
      </c>
      <c r="R148" s="19">
        <f t="shared" si="116"/>
        <v>3308</v>
      </c>
      <c r="S148" s="19">
        <f t="shared" si="109"/>
        <v>13232</v>
      </c>
      <c r="T148" s="17"/>
      <c r="U148" s="17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ht="18.75" customHeight="1">
      <c r="A149" s="9" t="s">
        <v>44</v>
      </c>
      <c r="B149" s="10">
        <v>4.562160134415E12</v>
      </c>
      <c r="C149" s="10" t="s">
        <v>382</v>
      </c>
      <c r="D149" s="19" t="s">
        <v>383</v>
      </c>
      <c r="E149" s="12">
        <v>6.0</v>
      </c>
      <c r="F149" s="12">
        <v>3308.0</v>
      </c>
      <c r="G149" s="13">
        <f t="shared" si="77"/>
        <v>19848</v>
      </c>
      <c r="H149" s="11"/>
      <c r="I149" s="11" t="s">
        <v>389</v>
      </c>
      <c r="J149" s="14">
        <v>45869.0</v>
      </c>
      <c r="K149" s="15"/>
      <c r="L149" s="15" t="s">
        <v>244</v>
      </c>
      <c r="M149" s="15"/>
      <c r="N149" s="18" t="s">
        <v>175</v>
      </c>
      <c r="O149" s="12" t="s">
        <v>29</v>
      </c>
      <c r="P149" s="11" t="s">
        <v>385</v>
      </c>
      <c r="Q149" s="19">
        <f t="shared" ref="Q149:R149" si="117">E149</f>
        <v>6</v>
      </c>
      <c r="R149" s="19">
        <f t="shared" si="117"/>
        <v>3308</v>
      </c>
      <c r="S149" s="19">
        <f t="shared" si="109"/>
        <v>19848</v>
      </c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</row>
    <row r="150" ht="18.75" customHeight="1">
      <c r="A150" s="9" t="s">
        <v>44</v>
      </c>
      <c r="B150" s="10">
        <v>4.562160134415E12</v>
      </c>
      <c r="C150" s="10" t="s">
        <v>382</v>
      </c>
      <c r="D150" s="19" t="s">
        <v>383</v>
      </c>
      <c r="E150" s="12">
        <v>14.0</v>
      </c>
      <c r="F150" s="12">
        <v>3308.0</v>
      </c>
      <c r="G150" s="13">
        <f t="shared" si="77"/>
        <v>46312</v>
      </c>
      <c r="H150" s="11"/>
      <c r="I150" s="11" t="s">
        <v>389</v>
      </c>
      <c r="J150" s="14">
        <v>45869.0</v>
      </c>
      <c r="K150" s="15"/>
      <c r="L150" s="15" t="s">
        <v>244</v>
      </c>
      <c r="M150" s="15"/>
      <c r="N150" s="18" t="s">
        <v>390</v>
      </c>
      <c r="O150" s="12" t="s">
        <v>29</v>
      </c>
      <c r="P150" s="11" t="s">
        <v>385</v>
      </c>
      <c r="Q150" s="19">
        <f t="shared" ref="Q150:R150" si="118">E150</f>
        <v>14</v>
      </c>
      <c r="R150" s="19">
        <f t="shared" si="118"/>
        <v>3308</v>
      </c>
      <c r="S150" s="19">
        <f t="shared" si="109"/>
        <v>46312</v>
      </c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</row>
    <row r="151" ht="18.75" customHeight="1">
      <c r="A151" s="9" t="s">
        <v>34</v>
      </c>
      <c r="B151" s="10">
        <v>4.562160134101E12</v>
      </c>
      <c r="C151" s="10" t="s">
        <v>391</v>
      </c>
      <c r="D151" s="11" t="s">
        <v>392</v>
      </c>
      <c r="E151" s="12">
        <v>17.0</v>
      </c>
      <c r="F151" s="12">
        <v>3308.0</v>
      </c>
      <c r="G151" s="13">
        <f t="shared" si="77"/>
        <v>56236</v>
      </c>
      <c r="H151" s="11"/>
      <c r="I151" s="11"/>
      <c r="J151" s="14">
        <v>45946.0</v>
      </c>
      <c r="K151" s="15"/>
      <c r="L151" s="15" t="s">
        <v>244</v>
      </c>
      <c r="M151" s="15"/>
      <c r="N151" s="18"/>
      <c r="O151" s="12"/>
      <c r="P151" s="11"/>
      <c r="Q151" s="19"/>
      <c r="R151" s="19"/>
      <c r="S151" s="19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</row>
    <row r="152" ht="18.75" customHeight="1">
      <c r="A152" s="9" t="s">
        <v>34</v>
      </c>
      <c r="B152" s="10">
        <v>4.562160134101E12</v>
      </c>
      <c r="C152" s="10" t="s">
        <v>391</v>
      </c>
      <c r="D152" s="11" t="s">
        <v>392</v>
      </c>
      <c r="E152" s="12">
        <v>3.0</v>
      </c>
      <c r="F152" s="12">
        <v>3308.0</v>
      </c>
      <c r="G152" s="13">
        <f t="shared" si="77"/>
        <v>9924</v>
      </c>
      <c r="H152" s="11"/>
      <c r="I152" s="11"/>
      <c r="J152" s="14">
        <v>45946.0</v>
      </c>
      <c r="K152" s="15"/>
      <c r="L152" s="15" t="s">
        <v>244</v>
      </c>
      <c r="M152" s="15"/>
      <c r="N152" s="18"/>
      <c r="O152" s="12"/>
      <c r="P152" s="11"/>
      <c r="Q152" s="19"/>
      <c r="R152" s="19"/>
      <c r="S152" s="19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</row>
    <row r="153" ht="18.75" customHeight="1">
      <c r="A153" s="9" t="s">
        <v>34</v>
      </c>
      <c r="B153" s="10">
        <v>4.562160134101E12</v>
      </c>
      <c r="C153" s="10" t="s">
        <v>391</v>
      </c>
      <c r="D153" s="11" t="s">
        <v>392</v>
      </c>
      <c r="E153" s="12">
        <v>2.0</v>
      </c>
      <c r="F153" s="12">
        <v>3308.0</v>
      </c>
      <c r="G153" s="13">
        <f t="shared" si="77"/>
        <v>6616</v>
      </c>
      <c r="H153" s="11"/>
      <c r="I153" s="11"/>
      <c r="J153" s="14">
        <v>45968.0</v>
      </c>
      <c r="K153" s="15"/>
      <c r="L153" s="15" t="s">
        <v>244</v>
      </c>
      <c r="M153" s="15"/>
      <c r="N153" s="18"/>
      <c r="O153" s="12"/>
      <c r="P153" s="11"/>
      <c r="Q153" s="19"/>
      <c r="R153" s="19"/>
      <c r="S153" s="19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</row>
    <row r="154" ht="18.75" customHeight="1">
      <c r="A154" s="9" t="s">
        <v>34</v>
      </c>
      <c r="B154" s="10">
        <v>4.562160134101E12</v>
      </c>
      <c r="C154" s="10" t="s">
        <v>391</v>
      </c>
      <c r="D154" s="11" t="s">
        <v>392</v>
      </c>
      <c r="E154" s="12">
        <v>18.0</v>
      </c>
      <c r="F154" s="12">
        <v>3308.0</v>
      </c>
      <c r="G154" s="13">
        <f t="shared" si="77"/>
        <v>59544</v>
      </c>
      <c r="H154" s="11"/>
      <c r="I154" s="11"/>
      <c r="J154" s="14">
        <v>45968.0</v>
      </c>
      <c r="K154" s="15"/>
      <c r="L154" s="15" t="s">
        <v>244</v>
      </c>
      <c r="M154" s="15"/>
      <c r="N154" s="18" t="s">
        <v>393</v>
      </c>
      <c r="O154" s="12" t="s">
        <v>29</v>
      </c>
      <c r="P154" s="11" t="s">
        <v>394</v>
      </c>
      <c r="Q154" s="19">
        <f t="shared" ref="Q154:R154" si="119">E154</f>
        <v>18</v>
      </c>
      <c r="R154" s="19">
        <f t="shared" si="119"/>
        <v>3308</v>
      </c>
      <c r="S154" s="19">
        <f t="shared" ref="S154:S160" si="121">R154*Q154</f>
        <v>59544</v>
      </c>
      <c r="T154" s="17">
        <v>24.6</v>
      </c>
      <c r="U154" s="17" t="s">
        <v>265</v>
      </c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</row>
    <row r="155" ht="18.75" customHeight="1">
      <c r="A155" s="9" t="s">
        <v>42</v>
      </c>
      <c r="B155" s="10">
        <v>4.562160134101E12</v>
      </c>
      <c r="C155" s="10" t="s">
        <v>391</v>
      </c>
      <c r="D155" s="11" t="s">
        <v>392</v>
      </c>
      <c r="E155" s="12">
        <v>15.0</v>
      </c>
      <c r="F155" s="12">
        <v>3308.0</v>
      </c>
      <c r="G155" s="13">
        <f t="shared" si="77"/>
        <v>49620</v>
      </c>
      <c r="H155" s="11"/>
      <c r="I155" s="11"/>
      <c r="J155" s="14">
        <v>45950.0</v>
      </c>
      <c r="K155" s="15"/>
      <c r="L155" s="15" t="s">
        <v>244</v>
      </c>
      <c r="M155" s="15"/>
      <c r="N155" s="18" t="s">
        <v>395</v>
      </c>
      <c r="O155" s="12" t="s">
        <v>29</v>
      </c>
      <c r="P155" s="11" t="s">
        <v>394</v>
      </c>
      <c r="Q155" s="19">
        <f t="shared" ref="Q155:R155" si="120">E155</f>
        <v>15</v>
      </c>
      <c r="R155" s="19">
        <f t="shared" si="120"/>
        <v>3308</v>
      </c>
      <c r="S155" s="19">
        <f t="shared" si="121"/>
        <v>49620</v>
      </c>
      <c r="T155" s="17">
        <v>21.6</v>
      </c>
      <c r="U155" s="17" t="s">
        <v>318</v>
      </c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ht="18.75" customHeight="1">
      <c r="A156" s="9" t="s">
        <v>42</v>
      </c>
      <c r="B156" s="10">
        <v>4.562160134101E12</v>
      </c>
      <c r="C156" s="10" t="s">
        <v>391</v>
      </c>
      <c r="D156" s="11" t="s">
        <v>392</v>
      </c>
      <c r="E156" s="12">
        <v>3.0</v>
      </c>
      <c r="F156" s="12">
        <v>3308.0</v>
      </c>
      <c r="G156" s="13">
        <f t="shared" si="77"/>
        <v>9924</v>
      </c>
      <c r="H156" s="11"/>
      <c r="I156" s="11"/>
      <c r="J156" s="14">
        <v>45973.0</v>
      </c>
      <c r="K156" s="15"/>
      <c r="L156" s="15" t="s">
        <v>244</v>
      </c>
      <c r="M156" s="15"/>
      <c r="N156" s="18" t="s">
        <v>43</v>
      </c>
      <c r="O156" s="12" t="s">
        <v>29</v>
      </c>
      <c r="P156" s="11" t="s">
        <v>394</v>
      </c>
      <c r="Q156" s="19">
        <f t="shared" ref="Q156:R156" si="122">E156</f>
        <v>3</v>
      </c>
      <c r="R156" s="19">
        <f t="shared" si="122"/>
        <v>3308</v>
      </c>
      <c r="S156" s="19">
        <f t="shared" si="121"/>
        <v>9924</v>
      </c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</row>
    <row r="157" ht="18.75" customHeight="1">
      <c r="A157" s="9" t="s">
        <v>351</v>
      </c>
      <c r="B157" s="10">
        <v>4.562160134101E12</v>
      </c>
      <c r="C157" s="10" t="s">
        <v>391</v>
      </c>
      <c r="D157" s="11" t="s">
        <v>392</v>
      </c>
      <c r="E157" s="12">
        <v>3.0</v>
      </c>
      <c r="F157" s="12">
        <v>3308.0</v>
      </c>
      <c r="G157" s="13">
        <f t="shared" si="77"/>
        <v>9924</v>
      </c>
      <c r="H157" s="11"/>
      <c r="I157" s="11"/>
      <c r="J157" s="14">
        <v>45933.0</v>
      </c>
      <c r="K157" s="15"/>
      <c r="L157" s="15" t="s">
        <v>244</v>
      </c>
      <c r="M157" s="15"/>
      <c r="N157" s="18" t="s">
        <v>354</v>
      </c>
      <c r="O157" s="12" t="s">
        <v>29</v>
      </c>
      <c r="P157" s="11" t="s">
        <v>394</v>
      </c>
      <c r="Q157" s="19">
        <f t="shared" ref="Q157:R157" si="123">E157</f>
        <v>3</v>
      </c>
      <c r="R157" s="19">
        <f t="shared" si="123"/>
        <v>3308</v>
      </c>
      <c r="S157" s="19">
        <f t="shared" si="121"/>
        <v>9924</v>
      </c>
      <c r="T157" s="17">
        <v>15.8</v>
      </c>
      <c r="U157" s="17" t="s">
        <v>396</v>
      </c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</row>
    <row r="158" ht="18.75" customHeight="1">
      <c r="A158" s="9" t="s">
        <v>13</v>
      </c>
      <c r="B158" s="10">
        <v>4.571165967652E12</v>
      </c>
      <c r="C158" s="10" t="s">
        <v>397</v>
      </c>
      <c r="D158" s="11" t="s">
        <v>398</v>
      </c>
      <c r="E158" s="12">
        <v>5.0</v>
      </c>
      <c r="F158" s="12">
        <v>182.0</v>
      </c>
      <c r="G158" s="13">
        <f t="shared" si="77"/>
        <v>910</v>
      </c>
      <c r="H158" s="11"/>
      <c r="I158" s="11"/>
      <c r="J158" s="14">
        <v>45972.0</v>
      </c>
      <c r="K158" s="15"/>
      <c r="L158" s="15" t="s">
        <v>244</v>
      </c>
      <c r="M158" s="15"/>
      <c r="N158" s="18" t="s">
        <v>17</v>
      </c>
      <c r="O158" s="12" t="s">
        <v>18</v>
      </c>
      <c r="P158" s="11" t="s">
        <v>399</v>
      </c>
      <c r="Q158" s="19">
        <f t="shared" ref="Q158:R158" si="124">E158</f>
        <v>5</v>
      </c>
      <c r="R158" s="19">
        <f t="shared" si="124"/>
        <v>182</v>
      </c>
      <c r="S158" s="19">
        <f t="shared" si="121"/>
        <v>910</v>
      </c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</row>
    <row r="159" ht="18.75" customHeight="1">
      <c r="A159" s="9" t="s">
        <v>13</v>
      </c>
      <c r="B159" s="10">
        <v>4.571165967645E12</v>
      </c>
      <c r="C159" s="10" t="s">
        <v>400</v>
      </c>
      <c r="D159" s="11" t="s">
        <v>401</v>
      </c>
      <c r="E159" s="12">
        <v>5.0</v>
      </c>
      <c r="F159" s="12">
        <v>182.0</v>
      </c>
      <c r="G159" s="13">
        <f t="shared" si="77"/>
        <v>910</v>
      </c>
      <c r="H159" s="11"/>
      <c r="I159" s="11"/>
      <c r="J159" s="14">
        <v>45972.0</v>
      </c>
      <c r="K159" s="15"/>
      <c r="L159" s="15" t="s">
        <v>244</v>
      </c>
      <c r="M159" s="15"/>
      <c r="N159" s="18" t="s">
        <v>17</v>
      </c>
      <c r="O159" s="12" t="s">
        <v>18</v>
      </c>
      <c r="P159" s="11" t="s">
        <v>402</v>
      </c>
      <c r="Q159" s="19">
        <f t="shared" ref="Q159:R159" si="125">E159</f>
        <v>5</v>
      </c>
      <c r="R159" s="19">
        <f t="shared" si="125"/>
        <v>182</v>
      </c>
      <c r="S159" s="19">
        <f t="shared" si="121"/>
        <v>910</v>
      </c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</row>
    <row r="160" ht="18.75" customHeight="1">
      <c r="A160" s="9" t="s">
        <v>13</v>
      </c>
      <c r="B160" s="10">
        <v>4.571165967485E12</v>
      </c>
      <c r="C160" s="10" t="s">
        <v>403</v>
      </c>
      <c r="D160" s="11" t="s">
        <v>404</v>
      </c>
      <c r="E160" s="12">
        <v>5.0</v>
      </c>
      <c r="F160" s="12">
        <v>182.0</v>
      </c>
      <c r="G160" s="13">
        <f t="shared" si="77"/>
        <v>910</v>
      </c>
      <c r="H160" s="11"/>
      <c r="I160" s="11"/>
      <c r="J160" s="14">
        <v>45972.0</v>
      </c>
      <c r="K160" s="15"/>
      <c r="L160" s="15" t="s">
        <v>244</v>
      </c>
      <c r="M160" s="15"/>
      <c r="N160" s="18" t="s">
        <v>17</v>
      </c>
      <c r="O160" s="12" t="s">
        <v>18</v>
      </c>
      <c r="P160" s="11" t="s">
        <v>405</v>
      </c>
      <c r="Q160" s="19">
        <f t="shared" ref="Q160:R160" si="126">E160</f>
        <v>5</v>
      </c>
      <c r="R160" s="19">
        <f t="shared" si="126"/>
        <v>182</v>
      </c>
      <c r="S160" s="19">
        <f t="shared" si="121"/>
        <v>910</v>
      </c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</row>
    <row r="161" ht="18.75" customHeight="1">
      <c r="A161" s="21" t="s">
        <v>13</v>
      </c>
      <c r="B161" s="22">
        <v>4.571165967478E12</v>
      </c>
      <c r="C161" s="22" t="s">
        <v>406</v>
      </c>
      <c r="D161" s="23" t="s">
        <v>407</v>
      </c>
      <c r="E161" s="24">
        <v>5.0</v>
      </c>
      <c r="F161" s="24">
        <v>0.0</v>
      </c>
      <c r="G161" s="25">
        <v>0.0</v>
      </c>
      <c r="H161" s="23"/>
      <c r="I161" s="23"/>
      <c r="J161" s="26">
        <v>45972.0</v>
      </c>
      <c r="K161" s="6" t="s">
        <v>204</v>
      </c>
      <c r="L161" s="27" t="s">
        <v>244</v>
      </c>
      <c r="M161" s="6"/>
      <c r="N161" s="23"/>
      <c r="O161" s="23"/>
      <c r="P161" s="23"/>
      <c r="Q161" s="23"/>
      <c r="R161" s="23"/>
      <c r="S161" s="23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 ht="18.75" customHeight="1">
      <c r="A162" s="9" t="s">
        <v>13</v>
      </c>
      <c r="B162" s="10">
        <v>4.571165967379E12</v>
      </c>
      <c r="C162" s="10" t="s">
        <v>408</v>
      </c>
      <c r="D162" s="11" t="s">
        <v>409</v>
      </c>
      <c r="E162" s="12">
        <v>5.0</v>
      </c>
      <c r="F162" s="12">
        <v>182.0</v>
      </c>
      <c r="G162" s="13">
        <f t="shared" ref="G162:G174" si="128">F162*E162</f>
        <v>910</v>
      </c>
      <c r="H162" s="11"/>
      <c r="I162" s="11"/>
      <c r="J162" s="14">
        <v>45972.0</v>
      </c>
      <c r="K162" s="15"/>
      <c r="L162" s="15" t="s">
        <v>244</v>
      </c>
      <c r="M162" s="15"/>
      <c r="N162" s="18" t="s">
        <v>17</v>
      </c>
      <c r="O162" s="12" t="s">
        <v>18</v>
      </c>
      <c r="P162" s="11" t="s">
        <v>410</v>
      </c>
      <c r="Q162" s="19">
        <f t="shared" ref="Q162:R162" si="127">E162</f>
        <v>5</v>
      </c>
      <c r="R162" s="19">
        <f t="shared" si="127"/>
        <v>182</v>
      </c>
      <c r="S162" s="19">
        <f t="shared" ref="S162:S174" si="130">R162*Q162</f>
        <v>910</v>
      </c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</row>
    <row r="163" ht="18.75" customHeight="1">
      <c r="A163" s="9" t="s">
        <v>13</v>
      </c>
      <c r="B163" s="10">
        <v>4.571165967362E12</v>
      </c>
      <c r="C163" s="10" t="s">
        <v>411</v>
      </c>
      <c r="D163" s="11" t="s">
        <v>412</v>
      </c>
      <c r="E163" s="12">
        <v>5.0</v>
      </c>
      <c r="F163" s="12">
        <v>182.0</v>
      </c>
      <c r="G163" s="13">
        <f t="shared" si="128"/>
        <v>910</v>
      </c>
      <c r="H163" s="11"/>
      <c r="I163" s="11"/>
      <c r="J163" s="14">
        <v>45972.0</v>
      </c>
      <c r="K163" s="15"/>
      <c r="L163" s="15" t="s">
        <v>244</v>
      </c>
      <c r="M163" s="15"/>
      <c r="N163" s="18" t="s">
        <v>17</v>
      </c>
      <c r="O163" s="12" t="s">
        <v>18</v>
      </c>
      <c r="P163" s="11" t="s">
        <v>413</v>
      </c>
      <c r="Q163" s="19">
        <f t="shared" ref="Q163:R163" si="129">E163</f>
        <v>5</v>
      </c>
      <c r="R163" s="19">
        <f t="shared" si="129"/>
        <v>182</v>
      </c>
      <c r="S163" s="19">
        <f t="shared" si="130"/>
        <v>910</v>
      </c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</row>
    <row r="164" ht="18.75" customHeight="1">
      <c r="A164" s="9" t="s">
        <v>13</v>
      </c>
      <c r="B164" s="10">
        <v>4.57116596727E12</v>
      </c>
      <c r="C164" s="10" t="s">
        <v>414</v>
      </c>
      <c r="D164" s="11" t="s">
        <v>415</v>
      </c>
      <c r="E164" s="12">
        <v>5.0</v>
      </c>
      <c r="F164" s="12">
        <v>182.0</v>
      </c>
      <c r="G164" s="13">
        <f t="shared" si="128"/>
        <v>910</v>
      </c>
      <c r="H164" s="11"/>
      <c r="I164" s="11"/>
      <c r="J164" s="14">
        <v>45972.0</v>
      </c>
      <c r="K164" s="15"/>
      <c r="L164" s="15" t="s">
        <v>244</v>
      </c>
      <c r="M164" s="15"/>
      <c r="N164" s="18" t="s">
        <v>17</v>
      </c>
      <c r="O164" s="12" t="s">
        <v>18</v>
      </c>
      <c r="P164" s="11" t="s">
        <v>416</v>
      </c>
      <c r="Q164" s="19">
        <f t="shared" ref="Q164:R164" si="131">E164</f>
        <v>5</v>
      </c>
      <c r="R164" s="19">
        <f t="shared" si="131"/>
        <v>182</v>
      </c>
      <c r="S164" s="19">
        <f t="shared" si="130"/>
        <v>910</v>
      </c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</row>
    <row r="165" ht="18.75" customHeight="1">
      <c r="A165" s="9" t="s">
        <v>13</v>
      </c>
      <c r="B165" s="10">
        <v>4.571165967232E12</v>
      </c>
      <c r="C165" s="10" t="s">
        <v>417</v>
      </c>
      <c r="D165" s="11" t="s">
        <v>418</v>
      </c>
      <c r="E165" s="12">
        <v>5.0</v>
      </c>
      <c r="F165" s="12">
        <v>182.0</v>
      </c>
      <c r="G165" s="13">
        <f t="shared" si="128"/>
        <v>910</v>
      </c>
      <c r="H165" s="11"/>
      <c r="I165" s="11"/>
      <c r="J165" s="14">
        <v>45972.0</v>
      </c>
      <c r="K165" s="15"/>
      <c r="L165" s="15" t="s">
        <v>244</v>
      </c>
      <c r="M165" s="15"/>
      <c r="N165" s="18" t="s">
        <v>17</v>
      </c>
      <c r="O165" s="12" t="s">
        <v>18</v>
      </c>
      <c r="P165" s="11" t="s">
        <v>419</v>
      </c>
      <c r="Q165" s="19">
        <f t="shared" ref="Q165:R165" si="132">E165</f>
        <v>5</v>
      </c>
      <c r="R165" s="19">
        <f t="shared" si="132"/>
        <v>182</v>
      </c>
      <c r="S165" s="19">
        <f t="shared" si="130"/>
        <v>910</v>
      </c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</row>
    <row r="166" ht="18.75" customHeight="1">
      <c r="A166" s="9" t="s">
        <v>13</v>
      </c>
      <c r="B166" s="10">
        <v>4.571165966914E12</v>
      </c>
      <c r="C166" s="10" t="s">
        <v>420</v>
      </c>
      <c r="D166" s="11" t="s">
        <v>421</v>
      </c>
      <c r="E166" s="12">
        <v>2.0</v>
      </c>
      <c r="F166" s="12">
        <v>265.0</v>
      </c>
      <c r="G166" s="13">
        <f t="shared" si="128"/>
        <v>530</v>
      </c>
      <c r="H166" s="11"/>
      <c r="I166" s="11"/>
      <c r="J166" s="14">
        <v>45944.0</v>
      </c>
      <c r="K166" s="15"/>
      <c r="L166" s="15" t="s">
        <v>244</v>
      </c>
      <c r="M166" s="15"/>
      <c r="N166" s="18" t="s">
        <v>254</v>
      </c>
      <c r="O166" s="12" t="s">
        <v>18</v>
      </c>
      <c r="P166" s="11" t="s">
        <v>422</v>
      </c>
      <c r="Q166" s="19">
        <f t="shared" ref="Q166:R166" si="133">E166</f>
        <v>2</v>
      </c>
      <c r="R166" s="19">
        <f t="shared" si="133"/>
        <v>265</v>
      </c>
      <c r="S166" s="19">
        <f t="shared" si="130"/>
        <v>530</v>
      </c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</row>
    <row r="167" ht="18.75" customHeight="1">
      <c r="A167" s="9" t="s">
        <v>13</v>
      </c>
      <c r="B167" s="10">
        <v>4.571165966907E12</v>
      </c>
      <c r="C167" s="10" t="s">
        <v>423</v>
      </c>
      <c r="D167" s="11" t="s">
        <v>424</v>
      </c>
      <c r="E167" s="12">
        <v>5.0</v>
      </c>
      <c r="F167" s="12">
        <v>265.0</v>
      </c>
      <c r="G167" s="13">
        <f t="shared" si="128"/>
        <v>1325</v>
      </c>
      <c r="H167" s="11"/>
      <c r="I167" s="11"/>
      <c r="J167" s="14">
        <v>45944.0</v>
      </c>
      <c r="K167" s="15"/>
      <c r="L167" s="15" t="s">
        <v>244</v>
      </c>
      <c r="M167" s="15"/>
      <c r="N167" s="18" t="s">
        <v>254</v>
      </c>
      <c r="O167" s="12" t="s">
        <v>18</v>
      </c>
      <c r="P167" s="11" t="s">
        <v>422</v>
      </c>
      <c r="Q167" s="19">
        <f t="shared" ref="Q167:R167" si="134">E167</f>
        <v>5</v>
      </c>
      <c r="R167" s="19">
        <f t="shared" si="134"/>
        <v>265</v>
      </c>
      <c r="S167" s="19">
        <f t="shared" si="130"/>
        <v>1325</v>
      </c>
      <c r="T167" s="17"/>
      <c r="U167" s="17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ht="18.75" customHeight="1">
      <c r="A168" s="9" t="s">
        <v>13</v>
      </c>
      <c r="B168" s="10">
        <v>4.571165966891E12</v>
      </c>
      <c r="C168" s="10" t="s">
        <v>425</v>
      </c>
      <c r="D168" s="11" t="s">
        <v>426</v>
      </c>
      <c r="E168" s="12">
        <v>15.0</v>
      </c>
      <c r="F168" s="12">
        <v>182.0</v>
      </c>
      <c r="G168" s="13">
        <f t="shared" si="128"/>
        <v>2730</v>
      </c>
      <c r="H168" s="11"/>
      <c r="I168" s="11"/>
      <c r="J168" s="14">
        <v>45972.0</v>
      </c>
      <c r="K168" s="15"/>
      <c r="L168" s="15" t="s">
        <v>244</v>
      </c>
      <c r="M168" s="15"/>
      <c r="N168" s="18" t="s">
        <v>17</v>
      </c>
      <c r="O168" s="12" t="s">
        <v>18</v>
      </c>
      <c r="P168" s="11" t="s">
        <v>427</v>
      </c>
      <c r="Q168" s="19">
        <f t="shared" ref="Q168:R168" si="135">E168</f>
        <v>15</v>
      </c>
      <c r="R168" s="19">
        <f t="shared" si="135"/>
        <v>182</v>
      </c>
      <c r="S168" s="19">
        <f t="shared" si="130"/>
        <v>2730</v>
      </c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</row>
    <row r="169" ht="18.75" customHeight="1">
      <c r="A169" s="9" t="s">
        <v>13</v>
      </c>
      <c r="B169" s="10">
        <v>4.571165966884E12</v>
      </c>
      <c r="C169" s="10" t="s">
        <v>428</v>
      </c>
      <c r="D169" s="11" t="s">
        <v>429</v>
      </c>
      <c r="E169" s="12">
        <v>15.0</v>
      </c>
      <c r="F169" s="12">
        <v>182.0</v>
      </c>
      <c r="G169" s="13">
        <f t="shared" si="128"/>
        <v>2730</v>
      </c>
      <c r="H169" s="11"/>
      <c r="I169" s="11"/>
      <c r="J169" s="14">
        <v>45972.0</v>
      </c>
      <c r="K169" s="15"/>
      <c r="L169" s="15" t="s">
        <v>244</v>
      </c>
      <c r="M169" s="15"/>
      <c r="N169" s="18" t="s">
        <v>17</v>
      </c>
      <c r="O169" s="12" t="s">
        <v>18</v>
      </c>
      <c r="P169" s="11" t="s">
        <v>427</v>
      </c>
      <c r="Q169" s="19">
        <f t="shared" ref="Q169:R169" si="136">E169</f>
        <v>15</v>
      </c>
      <c r="R169" s="19">
        <f t="shared" si="136"/>
        <v>182</v>
      </c>
      <c r="S169" s="19">
        <f t="shared" si="130"/>
        <v>2730</v>
      </c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</row>
    <row r="170" ht="18.75" customHeight="1">
      <c r="A170" s="9" t="s">
        <v>13</v>
      </c>
      <c r="B170" s="10">
        <v>4.57116596657E12</v>
      </c>
      <c r="C170" s="10" t="s">
        <v>430</v>
      </c>
      <c r="D170" s="11" t="s">
        <v>431</v>
      </c>
      <c r="E170" s="12">
        <v>5.0</v>
      </c>
      <c r="F170" s="12">
        <v>182.0</v>
      </c>
      <c r="G170" s="13">
        <f t="shared" si="128"/>
        <v>910</v>
      </c>
      <c r="H170" s="11"/>
      <c r="I170" s="11"/>
      <c r="J170" s="14">
        <v>45972.0</v>
      </c>
      <c r="K170" s="15"/>
      <c r="L170" s="15" t="s">
        <v>244</v>
      </c>
      <c r="M170" s="15"/>
      <c r="N170" s="18" t="s">
        <v>17</v>
      </c>
      <c r="O170" s="12" t="s">
        <v>18</v>
      </c>
      <c r="P170" s="11" t="s">
        <v>432</v>
      </c>
      <c r="Q170" s="19">
        <f t="shared" ref="Q170:R170" si="137">E170</f>
        <v>5</v>
      </c>
      <c r="R170" s="19">
        <f t="shared" si="137"/>
        <v>182</v>
      </c>
      <c r="S170" s="19">
        <f t="shared" si="130"/>
        <v>910</v>
      </c>
      <c r="T170" s="17">
        <v>20.7</v>
      </c>
      <c r="U170" s="17" t="s">
        <v>433</v>
      </c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</row>
    <row r="171" ht="18.75" customHeight="1">
      <c r="A171" s="9" t="s">
        <v>13</v>
      </c>
      <c r="B171" s="10">
        <v>4.571165966563E12</v>
      </c>
      <c r="C171" s="10" t="s">
        <v>434</v>
      </c>
      <c r="D171" s="11" t="s">
        <v>435</v>
      </c>
      <c r="E171" s="12">
        <v>5.0</v>
      </c>
      <c r="F171" s="12">
        <v>182.0</v>
      </c>
      <c r="G171" s="13">
        <f t="shared" si="128"/>
        <v>910</v>
      </c>
      <c r="H171" s="11"/>
      <c r="I171" s="11"/>
      <c r="J171" s="14">
        <v>45972.0</v>
      </c>
      <c r="K171" s="15"/>
      <c r="L171" s="15" t="s">
        <v>244</v>
      </c>
      <c r="M171" s="15"/>
      <c r="N171" s="18" t="s">
        <v>17</v>
      </c>
      <c r="O171" s="12" t="s">
        <v>18</v>
      </c>
      <c r="P171" s="11" t="s">
        <v>436</v>
      </c>
      <c r="Q171" s="19">
        <f t="shared" ref="Q171:R171" si="138">E171</f>
        <v>5</v>
      </c>
      <c r="R171" s="19">
        <f t="shared" si="138"/>
        <v>182</v>
      </c>
      <c r="S171" s="19">
        <f t="shared" si="130"/>
        <v>910</v>
      </c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</row>
    <row r="172" ht="18.75" customHeight="1">
      <c r="A172" s="9" t="s">
        <v>13</v>
      </c>
      <c r="B172" s="10">
        <v>4.571165966518E12</v>
      </c>
      <c r="C172" s="10" t="s">
        <v>437</v>
      </c>
      <c r="D172" s="11" t="s">
        <v>438</v>
      </c>
      <c r="E172" s="12">
        <v>10.0</v>
      </c>
      <c r="F172" s="12">
        <v>182.0</v>
      </c>
      <c r="G172" s="13">
        <f t="shared" si="128"/>
        <v>1820</v>
      </c>
      <c r="H172" s="11"/>
      <c r="I172" s="11"/>
      <c r="J172" s="14">
        <v>45972.0</v>
      </c>
      <c r="K172" s="15"/>
      <c r="L172" s="15" t="s">
        <v>244</v>
      </c>
      <c r="M172" s="15"/>
      <c r="N172" s="18" t="s">
        <v>17</v>
      </c>
      <c r="O172" s="12" t="s">
        <v>18</v>
      </c>
      <c r="P172" s="11" t="s">
        <v>439</v>
      </c>
      <c r="Q172" s="19">
        <f t="shared" ref="Q172:R172" si="139">E172</f>
        <v>10</v>
      </c>
      <c r="R172" s="19">
        <f t="shared" si="139"/>
        <v>182</v>
      </c>
      <c r="S172" s="19">
        <f t="shared" si="130"/>
        <v>1820</v>
      </c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</row>
    <row r="173" ht="18.75" customHeight="1">
      <c r="A173" s="9" t="s">
        <v>13</v>
      </c>
      <c r="B173" s="10">
        <v>4.571165966211E12</v>
      </c>
      <c r="C173" s="10" t="s">
        <v>440</v>
      </c>
      <c r="D173" s="11" t="s">
        <v>441</v>
      </c>
      <c r="E173" s="12">
        <v>5.0</v>
      </c>
      <c r="F173" s="12">
        <v>166.0</v>
      </c>
      <c r="G173" s="13">
        <f t="shared" si="128"/>
        <v>830</v>
      </c>
      <c r="H173" s="11"/>
      <c r="I173" s="11"/>
      <c r="J173" s="14">
        <v>45972.0</v>
      </c>
      <c r="K173" s="15"/>
      <c r="L173" s="15" t="s">
        <v>244</v>
      </c>
      <c r="M173" s="15"/>
      <c r="N173" s="18" t="s">
        <v>17</v>
      </c>
      <c r="O173" s="12" t="s">
        <v>18</v>
      </c>
      <c r="P173" s="11" t="s">
        <v>442</v>
      </c>
      <c r="Q173" s="19">
        <f t="shared" ref="Q173:R173" si="140">E173</f>
        <v>5</v>
      </c>
      <c r="R173" s="19">
        <f t="shared" si="140"/>
        <v>166</v>
      </c>
      <c r="S173" s="19">
        <f t="shared" si="130"/>
        <v>830</v>
      </c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</row>
    <row r="174" ht="18.75" customHeight="1">
      <c r="A174" s="9" t="s">
        <v>13</v>
      </c>
      <c r="B174" s="10">
        <v>4.571165964781E12</v>
      </c>
      <c r="C174" s="10" t="s">
        <v>443</v>
      </c>
      <c r="D174" s="11" t="s">
        <v>444</v>
      </c>
      <c r="E174" s="12">
        <v>5.0</v>
      </c>
      <c r="F174" s="12">
        <v>166.0</v>
      </c>
      <c r="G174" s="13">
        <f t="shared" si="128"/>
        <v>830</v>
      </c>
      <c r="H174" s="11"/>
      <c r="I174" s="11"/>
      <c r="J174" s="14">
        <v>45972.0</v>
      </c>
      <c r="K174" s="15"/>
      <c r="L174" s="15" t="s">
        <v>244</v>
      </c>
      <c r="M174" s="15"/>
      <c r="N174" s="18" t="s">
        <v>17</v>
      </c>
      <c r="O174" s="12" t="s">
        <v>18</v>
      </c>
      <c r="P174" s="11" t="s">
        <v>445</v>
      </c>
      <c r="Q174" s="19">
        <f t="shared" ref="Q174:R174" si="141">E174</f>
        <v>5</v>
      </c>
      <c r="R174" s="19">
        <f t="shared" si="141"/>
        <v>166</v>
      </c>
      <c r="S174" s="19">
        <f t="shared" si="130"/>
        <v>830</v>
      </c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</row>
    <row r="175" ht="18.75" customHeight="1">
      <c r="A175" s="21" t="s">
        <v>13</v>
      </c>
      <c r="B175" s="22">
        <v>4.5711659642E12</v>
      </c>
      <c r="C175" s="22" t="s">
        <v>446</v>
      </c>
      <c r="D175" s="23" t="s">
        <v>447</v>
      </c>
      <c r="E175" s="24">
        <v>10.0</v>
      </c>
      <c r="F175" s="24">
        <v>309.0</v>
      </c>
      <c r="G175" s="25">
        <v>0.0</v>
      </c>
      <c r="H175" s="23"/>
      <c r="I175" s="23"/>
      <c r="J175" s="26">
        <v>45972.0</v>
      </c>
      <c r="K175" s="6" t="s">
        <v>204</v>
      </c>
      <c r="L175" s="27" t="s">
        <v>244</v>
      </c>
      <c r="M175" s="6"/>
      <c r="N175" s="23"/>
      <c r="O175" s="23"/>
      <c r="P175" s="23"/>
      <c r="Q175" s="23"/>
      <c r="R175" s="23"/>
      <c r="S175" s="23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ht="18.75" customHeight="1">
      <c r="A176" s="9" t="s">
        <v>13</v>
      </c>
      <c r="B176" s="10">
        <v>4.571165963029E12</v>
      </c>
      <c r="C176" s="10" t="s">
        <v>448</v>
      </c>
      <c r="D176" s="11" t="s">
        <v>449</v>
      </c>
      <c r="E176" s="12">
        <v>12.0</v>
      </c>
      <c r="F176" s="12">
        <v>331.0</v>
      </c>
      <c r="G176" s="13">
        <f t="shared" ref="G176:G266" si="143">F176*E176</f>
        <v>3972</v>
      </c>
      <c r="H176" s="11"/>
      <c r="I176" s="11"/>
      <c r="J176" s="14">
        <v>45972.0</v>
      </c>
      <c r="K176" s="15"/>
      <c r="L176" s="15" t="s">
        <v>244</v>
      </c>
      <c r="M176" s="15"/>
      <c r="N176" s="18" t="s">
        <v>17</v>
      </c>
      <c r="O176" s="12" t="s">
        <v>18</v>
      </c>
      <c r="P176" s="11" t="s">
        <v>450</v>
      </c>
      <c r="Q176" s="19">
        <f t="shared" ref="Q176:R176" si="142">E176</f>
        <v>12</v>
      </c>
      <c r="R176" s="19">
        <f t="shared" si="142"/>
        <v>331</v>
      </c>
      <c r="S176" s="19">
        <f t="shared" ref="S176:S182" si="145">R176*Q176</f>
        <v>3972</v>
      </c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</row>
    <row r="177" ht="18.75" customHeight="1">
      <c r="A177" s="9" t="s">
        <v>13</v>
      </c>
      <c r="B177" s="10">
        <v>4.571165963029E12</v>
      </c>
      <c r="C177" s="10" t="s">
        <v>448</v>
      </c>
      <c r="D177" s="11" t="s">
        <v>449</v>
      </c>
      <c r="E177" s="12">
        <v>28.0</v>
      </c>
      <c r="F177" s="12">
        <v>331.0</v>
      </c>
      <c r="G177" s="13">
        <f t="shared" si="143"/>
        <v>9268</v>
      </c>
      <c r="H177" s="11"/>
      <c r="I177" s="11"/>
      <c r="J177" s="14">
        <v>45972.0</v>
      </c>
      <c r="K177" s="15"/>
      <c r="L177" s="15" t="s">
        <v>244</v>
      </c>
      <c r="M177" s="15"/>
      <c r="N177" s="18" t="s">
        <v>451</v>
      </c>
      <c r="O177" s="12" t="s">
        <v>18</v>
      </c>
      <c r="P177" s="11" t="s">
        <v>450</v>
      </c>
      <c r="Q177" s="19">
        <f t="shared" ref="Q177:R177" si="144">E177</f>
        <v>28</v>
      </c>
      <c r="R177" s="19">
        <f t="shared" si="144"/>
        <v>331</v>
      </c>
      <c r="S177" s="19">
        <f t="shared" si="145"/>
        <v>9268</v>
      </c>
      <c r="T177" s="17">
        <v>7.2</v>
      </c>
      <c r="U177" s="17" t="s">
        <v>452</v>
      </c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</row>
    <row r="178" ht="18.75" customHeight="1">
      <c r="A178" s="9" t="s">
        <v>44</v>
      </c>
      <c r="B178" s="10">
        <v>4.573161246403E12</v>
      </c>
      <c r="C178" s="10" t="s">
        <v>453</v>
      </c>
      <c r="D178" s="11" t="s">
        <v>454</v>
      </c>
      <c r="E178" s="12">
        <v>5.0</v>
      </c>
      <c r="F178" s="12">
        <v>2183.0</v>
      </c>
      <c r="G178" s="13">
        <f t="shared" si="143"/>
        <v>10915</v>
      </c>
      <c r="H178" s="11"/>
      <c r="I178" s="11"/>
      <c r="J178" s="14">
        <v>45964.0</v>
      </c>
      <c r="K178" s="15"/>
      <c r="L178" s="15" t="s">
        <v>455</v>
      </c>
      <c r="M178" s="15"/>
      <c r="N178" s="18" t="s">
        <v>175</v>
      </c>
      <c r="O178" s="12" t="s">
        <v>29</v>
      </c>
      <c r="P178" s="11" t="s">
        <v>456</v>
      </c>
      <c r="Q178" s="19">
        <f t="shared" ref="Q178:R178" si="146">E178</f>
        <v>5</v>
      </c>
      <c r="R178" s="19">
        <f t="shared" si="146"/>
        <v>2183</v>
      </c>
      <c r="S178" s="19">
        <f t="shared" si="145"/>
        <v>10915</v>
      </c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</row>
    <row r="179" ht="18.75" customHeight="1">
      <c r="A179" s="9" t="s">
        <v>7</v>
      </c>
      <c r="B179" s="10">
        <v>4.573161246229E12</v>
      </c>
      <c r="C179" s="10" t="s">
        <v>457</v>
      </c>
      <c r="D179" s="11" t="s">
        <v>458</v>
      </c>
      <c r="E179" s="12">
        <v>4.0</v>
      </c>
      <c r="F179" s="12">
        <v>2213.0</v>
      </c>
      <c r="G179" s="13">
        <f t="shared" si="143"/>
        <v>8852</v>
      </c>
      <c r="H179" s="11"/>
      <c r="I179" s="11"/>
      <c r="J179" s="14">
        <v>45979.0</v>
      </c>
      <c r="K179" s="15"/>
      <c r="L179" s="15" t="s">
        <v>455</v>
      </c>
      <c r="M179" s="15"/>
      <c r="N179" s="18" t="s">
        <v>299</v>
      </c>
      <c r="O179" s="12" t="s">
        <v>29</v>
      </c>
      <c r="P179" s="11" t="s">
        <v>459</v>
      </c>
      <c r="Q179" s="19">
        <f t="shared" ref="Q179:R179" si="147">E179</f>
        <v>4</v>
      </c>
      <c r="R179" s="19">
        <f t="shared" si="147"/>
        <v>2213</v>
      </c>
      <c r="S179" s="19">
        <f t="shared" si="145"/>
        <v>8852</v>
      </c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</row>
    <row r="180" ht="18.75" customHeight="1">
      <c r="A180" s="9" t="s">
        <v>7</v>
      </c>
      <c r="B180" s="10">
        <v>4.573161246229E12</v>
      </c>
      <c r="C180" s="10" t="s">
        <v>457</v>
      </c>
      <c r="D180" s="11" t="s">
        <v>458</v>
      </c>
      <c r="E180" s="12">
        <v>16.0</v>
      </c>
      <c r="F180" s="12">
        <v>2213.0</v>
      </c>
      <c r="G180" s="13">
        <f t="shared" si="143"/>
        <v>35408</v>
      </c>
      <c r="H180" s="11"/>
      <c r="I180" s="11"/>
      <c r="J180" s="14">
        <v>45979.0</v>
      </c>
      <c r="K180" s="15"/>
      <c r="L180" s="15" t="s">
        <v>455</v>
      </c>
      <c r="M180" s="15"/>
      <c r="N180" s="18" t="s">
        <v>460</v>
      </c>
      <c r="O180" s="12" t="s">
        <v>29</v>
      </c>
      <c r="P180" s="11" t="s">
        <v>459</v>
      </c>
      <c r="Q180" s="19">
        <f t="shared" ref="Q180:R180" si="148">E180</f>
        <v>16</v>
      </c>
      <c r="R180" s="19">
        <f t="shared" si="148"/>
        <v>2213</v>
      </c>
      <c r="S180" s="19">
        <f t="shared" si="145"/>
        <v>35408</v>
      </c>
      <c r="T180" s="17">
        <v>9.2</v>
      </c>
      <c r="U180" s="17" t="s">
        <v>117</v>
      </c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</row>
    <row r="181" ht="18.75" customHeight="1">
      <c r="A181" s="9" t="s">
        <v>44</v>
      </c>
      <c r="B181" s="10">
        <v>4.571486931615E12</v>
      </c>
      <c r="C181" s="10" t="s">
        <v>461</v>
      </c>
      <c r="D181" s="11" t="s">
        <v>462</v>
      </c>
      <c r="E181" s="12">
        <v>3.0</v>
      </c>
      <c r="F181" s="12">
        <v>2183.0</v>
      </c>
      <c r="G181" s="13">
        <f t="shared" si="143"/>
        <v>6549</v>
      </c>
      <c r="H181" s="11"/>
      <c r="I181" s="11"/>
      <c r="J181" s="14">
        <v>45964.0</v>
      </c>
      <c r="K181" s="15"/>
      <c r="L181" s="15" t="s">
        <v>463</v>
      </c>
      <c r="M181" s="15"/>
      <c r="N181" s="18" t="s">
        <v>175</v>
      </c>
      <c r="O181" s="12" t="s">
        <v>29</v>
      </c>
      <c r="P181" s="11" t="s">
        <v>462</v>
      </c>
      <c r="Q181" s="19">
        <f t="shared" ref="Q181:R181" si="149">E181</f>
        <v>3</v>
      </c>
      <c r="R181" s="19">
        <f t="shared" si="149"/>
        <v>2183</v>
      </c>
      <c r="S181" s="19">
        <f t="shared" si="145"/>
        <v>6549</v>
      </c>
      <c r="T181" s="17">
        <v>20.9</v>
      </c>
      <c r="U181" s="17" t="s">
        <v>318</v>
      </c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</row>
    <row r="182" ht="18.75" customHeight="1">
      <c r="A182" s="9" t="s">
        <v>44</v>
      </c>
      <c r="B182" s="10">
        <v>4.571486931615E12</v>
      </c>
      <c r="C182" s="10" t="s">
        <v>461</v>
      </c>
      <c r="D182" s="11" t="s">
        <v>462</v>
      </c>
      <c r="E182" s="12">
        <v>7.0</v>
      </c>
      <c r="F182" s="12">
        <v>2183.0</v>
      </c>
      <c r="G182" s="13">
        <f t="shared" si="143"/>
        <v>15281</v>
      </c>
      <c r="H182" s="11"/>
      <c r="I182" s="11"/>
      <c r="J182" s="14">
        <v>45964.0</v>
      </c>
      <c r="K182" s="15"/>
      <c r="L182" s="15" t="s">
        <v>463</v>
      </c>
      <c r="M182" s="15"/>
      <c r="N182" s="18" t="s">
        <v>191</v>
      </c>
      <c r="O182" s="12" t="s">
        <v>29</v>
      </c>
      <c r="P182" s="11" t="s">
        <v>462</v>
      </c>
      <c r="Q182" s="19">
        <f t="shared" ref="Q182:R182" si="150">E182</f>
        <v>7</v>
      </c>
      <c r="R182" s="19">
        <f t="shared" si="150"/>
        <v>2183</v>
      </c>
      <c r="S182" s="19">
        <f t="shared" si="145"/>
        <v>15281</v>
      </c>
      <c r="T182" s="17">
        <v>24.8</v>
      </c>
      <c r="U182" s="17" t="s">
        <v>318</v>
      </c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</row>
    <row r="183" ht="18.75" customHeight="1">
      <c r="A183" s="9" t="s">
        <v>34</v>
      </c>
      <c r="B183" s="10">
        <v>4.571360811248E12</v>
      </c>
      <c r="C183" s="10" t="s">
        <v>464</v>
      </c>
      <c r="D183" s="11" t="s">
        <v>465</v>
      </c>
      <c r="E183" s="12">
        <v>30.0</v>
      </c>
      <c r="F183" s="12">
        <v>497.0</v>
      </c>
      <c r="G183" s="13">
        <f t="shared" si="143"/>
        <v>14910</v>
      </c>
      <c r="H183" s="11"/>
      <c r="I183" s="11"/>
      <c r="J183" s="14">
        <v>45951.0</v>
      </c>
      <c r="K183" s="15"/>
      <c r="L183" s="15" t="s">
        <v>466</v>
      </c>
      <c r="M183" s="15"/>
      <c r="N183" s="18"/>
      <c r="O183" s="12"/>
      <c r="P183" s="11"/>
      <c r="Q183" s="19"/>
      <c r="R183" s="19"/>
      <c r="S183" s="19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</row>
    <row r="184" ht="18.75" customHeight="1">
      <c r="A184" s="9" t="s">
        <v>7</v>
      </c>
      <c r="B184" s="10">
        <v>4.571360811248E12</v>
      </c>
      <c r="C184" s="10" t="s">
        <v>464</v>
      </c>
      <c r="D184" s="11" t="s">
        <v>465</v>
      </c>
      <c r="E184" s="12">
        <v>30.0</v>
      </c>
      <c r="F184" s="12">
        <v>497.0</v>
      </c>
      <c r="G184" s="13">
        <f t="shared" si="143"/>
        <v>14910</v>
      </c>
      <c r="H184" s="11"/>
      <c r="I184" s="11"/>
      <c r="J184" s="14">
        <v>45952.0</v>
      </c>
      <c r="K184" s="15"/>
      <c r="L184" s="15" t="s">
        <v>466</v>
      </c>
      <c r="M184" s="15"/>
      <c r="N184" s="18"/>
      <c r="O184" s="12"/>
      <c r="P184" s="11"/>
      <c r="Q184" s="19"/>
      <c r="R184" s="19"/>
      <c r="S184" s="19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</row>
    <row r="185" ht="16.5" customHeight="1">
      <c r="A185" s="9" t="s">
        <v>7</v>
      </c>
      <c r="B185" s="10">
        <v>4.571360811248E12</v>
      </c>
      <c r="C185" s="10" t="s">
        <v>464</v>
      </c>
      <c r="D185" s="11" t="s">
        <v>465</v>
      </c>
      <c r="E185" s="12">
        <v>20.0</v>
      </c>
      <c r="F185" s="12">
        <v>497.0</v>
      </c>
      <c r="G185" s="13">
        <f t="shared" si="143"/>
        <v>9940</v>
      </c>
      <c r="H185" s="11"/>
      <c r="I185" s="11"/>
      <c r="J185" s="14">
        <v>45964.0</v>
      </c>
      <c r="K185" s="15"/>
      <c r="L185" s="15" t="s">
        <v>466</v>
      </c>
      <c r="M185" s="15"/>
      <c r="N185" s="18" t="s">
        <v>171</v>
      </c>
      <c r="O185" s="12" t="s">
        <v>18</v>
      </c>
      <c r="P185" s="11" t="s">
        <v>467</v>
      </c>
      <c r="Q185" s="19">
        <f t="shared" ref="Q185:R185" si="151">E185</f>
        <v>20</v>
      </c>
      <c r="R185" s="19">
        <f t="shared" si="151"/>
        <v>497</v>
      </c>
      <c r="S185" s="19">
        <f>R185*Q185</f>
        <v>9940</v>
      </c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</row>
    <row r="186" ht="18.75" customHeight="1">
      <c r="A186" s="9" t="s">
        <v>34</v>
      </c>
      <c r="B186" s="10">
        <v>4.571360814065E12</v>
      </c>
      <c r="C186" s="10" t="s">
        <v>468</v>
      </c>
      <c r="D186" s="11" t="s">
        <v>469</v>
      </c>
      <c r="E186" s="12">
        <v>5.0</v>
      </c>
      <c r="F186" s="12">
        <v>2091.0</v>
      </c>
      <c r="G186" s="13">
        <f t="shared" si="143"/>
        <v>10455</v>
      </c>
      <c r="H186" s="11"/>
      <c r="I186" s="11"/>
      <c r="J186" s="14">
        <v>45972.0</v>
      </c>
      <c r="K186" s="15"/>
      <c r="L186" s="15" t="s">
        <v>466</v>
      </c>
      <c r="M186" s="15"/>
      <c r="N186" s="18"/>
      <c r="O186" s="12"/>
      <c r="P186" s="11"/>
      <c r="Q186" s="19"/>
      <c r="R186" s="19"/>
      <c r="S186" s="19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</row>
    <row r="187" ht="18.75" customHeight="1">
      <c r="A187" s="9" t="s">
        <v>34</v>
      </c>
      <c r="B187" s="10">
        <v>4.571360814065E12</v>
      </c>
      <c r="C187" s="10" t="s">
        <v>468</v>
      </c>
      <c r="D187" s="11" t="s">
        <v>469</v>
      </c>
      <c r="E187" s="12">
        <v>3.0</v>
      </c>
      <c r="F187" s="12">
        <v>2091.0</v>
      </c>
      <c r="G187" s="13">
        <f t="shared" si="143"/>
        <v>6273</v>
      </c>
      <c r="H187" s="11"/>
      <c r="I187" s="11"/>
      <c r="J187" s="14">
        <v>45972.0</v>
      </c>
      <c r="K187" s="15"/>
      <c r="L187" s="15" t="s">
        <v>466</v>
      </c>
      <c r="M187" s="15"/>
      <c r="N187" s="18" t="s">
        <v>470</v>
      </c>
      <c r="O187" s="12" t="s">
        <v>29</v>
      </c>
      <c r="P187" s="11" t="s">
        <v>471</v>
      </c>
      <c r="Q187" s="19">
        <f t="shared" ref="Q187:R187" si="152">E187</f>
        <v>3</v>
      </c>
      <c r="R187" s="19">
        <f t="shared" si="152"/>
        <v>2091</v>
      </c>
      <c r="S187" s="19">
        <f t="shared" ref="S187:S218" si="154">R187*Q187</f>
        <v>6273</v>
      </c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</row>
    <row r="188" ht="18.75" customHeight="1">
      <c r="A188" s="9" t="s">
        <v>34</v>
      </c>
      <c r="B188" s="10">
        <v>4.571360814065E12</v>
      </c>
      <c r="C188" s="10" t="s">
        <v>468</v>
      </c>
      <c r="D188" s="11" t="s">
        <v>469</v>
      </c>
      <c r="E188" s="12">
        <v>2.0</v>
      </c>
      <c r="F188" s="12">
        <v>2091.0</v>
      </c>
      <c r="G188" s="13">
        <f t="shared" si="143"/>
        <v>4182</v>
      </c>
      <c r="H188" s="11"/>
      <c r="I188" s="11"/>
      <c r="J188" s="14">
        <v>45972.0</v>
      </c>
      <c r="K188" s="15"/>
      <c r="L188" s="15" t="s">
        <v>466</v>
      </c>
      <c r="M188" s="15"/>
      <c r="N188" s="18" t="s">
        <v>377</v>
      </c>
      <c r="O188" s="12" t="s">
        <v>29</v>
      </c>
      <c r="P188" s="11" t="s">
        <v>471</v>
      </c>
      <c r="Q188" s="19">
        <f t="shared" ref="Q188:R188" si="153">E188</f>
        <v>2</v>
      </c>
      <c r="R188" s="19">
        <f t="shared" si="153"/>
        <v>2091</v>
      </c>
      <c r="S188" s="19">
        <f t="shared" si="154"/>
        <v>4182</v>
      </c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</row>
    <row r="189" ht="18.75" customHeight="1">
      <c r="A189" s="9" t="s">
        <v>34</v>
      </c>
      <c r="B189" s="10">
        <v>4.562309513798E12</v>
      </c>
      <c r="C189" s="10" t="s">
        <v>472</v>
      </c>
      <c r="D189" s="11" t="s">
        <v>473</v>
      </c>
      <c r="E189" s="12">
        <v>20.0</v>
      </c>
      <c r="F189" s="12">
        <v>1400.0</v>
      </c>
      <c r="G189" s="13">
        <f t="shared" si="143"/>
        <v>28000</v>
      </c>
      <c r="H189" s="11"/>
      <c r="I189" s="11"/>
      <c r="J189" s="14">
        <v>45975.0</v>
      </c>
      <c r="K189" s="15"/>
      <c r="L189" s="15" t="s">
        <v>474</v>
      </c>
      <c r="M189" s="15"/>
      <c r="N189" s="18" t="s">
        <v>55</v>
      </c>
      <c r="O189" s="12" t="s">
        <v>29</v>
      </c>
      <c r="P189" s="11" t="s">
        <v>475</v>
      </c>
      <c r="Q189" s="19">
        <f t="shared" ref="Q189:R189" si="155">E189</f>
        <v>20</v>
      </c>
      <c r="R189" s="19">
        <f t="shared" si="155"/>
        <v>1400</v>
      </c>
      <c r="S189" s="19">
        <f t="shared" si="154"/>
        <v>28000</v>
      </c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</row>
    <row r="190" ht="18.75" customHeight="1">
      <c r="A190" s="9" t="s">
        <v>48</v>
      </c>
      <c r="B190" s="10">
        <v>4.562309513798E12</v>
      </c>
      <c r="C190" s="10" t="s">
        <v>472</v>
      </c>
      <c r="D190" s="11" t="s">
        <v>473</v>
      </c>
      <c r="E190" s="12">
        <v>20.0</v>
      </c>
      <c r="F190" s="12">
        <v>1400.0</v>
      </c>
      <c r="G190" s="13">
        <f t="shared" si="143"/>
        <v>28000</v>
      </c>
      <c r="H190" s="11"/>
      <c r="I190" s="11"/>
      <c r="J190" s="14">
        <v>45978.0</v>
      </c>
      <c r="K190" s="15"/>
      <c r="L190" s="15" t="s">
        <v>474</v>
      </c>
      <c r="M190" s="15"/>
      <c r="N190" s="18" t="s">
        <v>111</v>
      </c>
      <c r="O190" s="12" t="s">
        <v>29</v>
      </c>
      <c r="P190" s="11" t="s">
        <v>475</v>
      </c>
      <c r="Q190" s="19">
        <f t="shared" ref="Q190:R190" si="156">E190</f>
        <v>20</v>
      </c>
      <c r="R190" s="19">
        <f t="shared" si="156"/>
        <v>1400</v>
      </c>
      <c r="S190" s="19">
        <f t="shared" si="154"/>
        <v>28000</v>
      </c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</row>
    <row r="191" ht="18.75" customHeight="1">
      <c r="A191" s="9" t="s">
        <v>44</v>
      </c>
      <c r="B191" s="10">
        <v>4.562309513798E12</v>
      </c>
      <c r="C191" s="10" t="s">
        <v>472</v>
      </c>
      <c r="D191" s="11" t="s">
        <v>473</v>
      </c>
      <c r="E191" s="12">
        <v>15.0</v>
      </c>
      <c r="F191" s="12">
        <v>1400.0</v>
      </c>
      <c r="G191" s="13">
        <f t="shared" si="143"/>
        <v>21000</v>
      </c>
      <c r="H191" s="11"/>
      <c r="I191" s="11"/>
      <c r="J191" s="14">
        <v>45978.0</v>
      </c>
      <c r="K191" s="15"/>
      <c r="L191" s="15" t="s">
        <v>474</v>
      </c>
      <c r="M191" s="15"/>
      <c r="N191" s="18" t="s">
        <v>476</v>
      </c>
      <c r="O191" s="12" t="s">
        <v>29</v>
      </c>
      <c r="P191" s="11" t="s">
        <v>475</v>
      </c>
      <c r="Q191" s="19">
        <f t="shared" ref="Q191:R191" si="157">E191</f>
        <v>15</v>
      </c>
      <c r="R191" s="19">
        <f t="shared" si="157"/>
        <v>1400</v>
      </c>
      <c r="S191" s="19">
        <f t="shared" si="154"/>
        <v>21000</v>
      </c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</row>
    <row r="192" ht="18.75" customHeight="1">
      <c r="A192" s="9" t="s">
        <v>42</v>
      </c>
      <c r="B192" s="10">
        <v>4.562309513767E12</v>
      </c>
      <c r="C192" s="10" t="s">
        <v>477</v>
      </c>
      <c r="D192" s="11" t="s">
        <v>478</v>
      </c>
      <c r="E192" s="12">
        <v>3.0</v>
      </c>
      <c r="F192" s="12">
        <v>1800.0</v>
      </c>
      <c r="G192" s="13">
        <f t="shared" si="143"/>
        <v>5400</v>
      </c>
      <c r="H192" s="11"/>
      <c r="I192" s="11"/>
      <c r="J192" s="14">
        <v>45973.0</v>
      </c>
      <c r="K192" s="15"/>
      <c r="L192" s="15" t="s">
        <v>474</v>
      </c>
      <c r="M192" s="15"/>
      <c r="N192" s="18" t="s">
        <v>479</v>
      </c>
      <c r="O192" s="12" t="s">
        <v>29</v>
      </c>
      <c r="P192" s="11" t="s">
        <v>480</v>
      </c>
      <c r="Q192" s="19">
        <f t="shared" ref="Q192:R192" si="158">E192</f>
        <v>3</v>
      </c>
      <c r="R192" s="19">
        <f t="shared" si="158"/>
        <v>1800</v>
      </c>
      <c r="S192" s="19">
        <f t="shared" si="154"/>
        <v>5400</v>
      </c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</row>
    <row r="193" ht="18.75" customHeight="1">
      <c r="A193" s="9" t="s">
        <v>42</v>
      </c>
      <c r="B193" s="10">
        <v>4.56230951375E12</v>
      </c>
      <c r="C193" s="10" t="s">
        <v>481</v>
      </c>
      <c r="D193" s="11" t="s">
        <v>482</v>
      </c>
      <c r="E193" s="12">
        <v>6.0</v>
      </c>
      <c r="F193" s="12">
        <v>1600.0</v>
      </c>
      <c r="G193" s="13">
        <f t="shared" si="143"/>
        <v>9600</v>
      </c>
      <c r="H193" s="11"/>
      <c r="I193" s="11"/>
      <c r="J193" s="14">
        <v>45973.0</v>
      </c>
      <c r="K193" s="15"/>
      <c r="L193" s="15" t="s">
        <v>474</v>
      </c>
      <c r="M193" s="15"/>
      <c r="N193" s="18" t="s">
        <v>286</v>
      </c>
      <c r="O193" s="12" t="s">
        <v>29</v>
      </c>
      <c r="P193" s="11" t="s">
        <v>483</v>
      </c>
      <c r="Q193" s="19">
        <f t="shared" ref="Q193:R193" si="159">E193</f>
        <v>6</v>
      </c>
      <c r="R193" s="19">
        <f t="shared" si="159"/>
        <v>1600</v>
      </c>
      <c r="S193" s="19">
        <f t="shared" si="154"/>
        <v>9600</v>
      </c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</row>
    <row r="194" ht="18.75" customHeight="1">
      <c r="A194" s="9" t="s">
        <v>42</v>
      </c>
      <c r="B194" s="10">
        <v>4.562309513743E12</v>
      </c>
      <c r="C194" s="10" t="s">
        <v>484</v>
      </c>
      <c r="D194" s="11" t="s">
        <v>485</v>
      </c>
      <c r="E194" s="12">
        <v>7.0</v>
      </c>
      <c r="F194" s="12">
        <v>1600.0</v>
      </c>
      <c r="G194" s="13">
        <f t="shared" si="143"/>
        <v>11200</v>
      </c>
      <c r="H194" s="11"/>
      <c r="I194" s="11"/>
      <c r="J194" s="14">
        <v>45973.0</v>
      </c>
      <c r="K194" s="15"/>
      <c r="L194" s="15" t="s">
        <v>474</v>
      </c>
      <c r="M194" s="15"/>
      <c r="N194" s="18" t="s">
        <v>479</v>
      </c>
      <c r="O194" s="12" t="s">
        <v>29</v>
      </c>
      <c r="P194" s="11" t="s">
        <v>485</v>
      </c>
      <c r="Q194" s="19">
        <f t="shared" ref="Q194:R194" si="160">E194</f>
        <v>7</v>
      </c>
      <c r="R194" s="19">
        <f t="shared" si="160"/>
        <v>1600</v>
      </c>
      <c r="S194" s="19">
        <f t="shared" si="154"/>
        <v>11200</v>
      </c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</row>
    <row r="195" ht="18.75" customHeight="1">
      <c r="A195" s="9" t="s">
        <v>42</v>
      </c>
      <c r="B195" s="10">
        <v>4.562309513637E12</v>
      </c>
      <c r="C195" s="10" t="s">
        <v>486</v>
      </c>
      <c r="D195" s="11" t="s">
        <v>487</v>
      </c>
      <c r="E195" s="12">
        <v>20.0</v>
      </c>
      <c r="F195" s="12">
        <v>1310.0</v>
      </c>
      <c r="G195" s="13">
        <f t="shared" si="143"/>
        <v>26200</v>
      </c>
      <c r="H195" s="11"/>
      <c r="I195" s="11" t="s">
        <v>488</v>
      </c>
      <c r="J195" s="14">
        <v>45973.0</v>
      </c>
      <c r="K195" s="15"/>
      <c r="L195" s="15" t="s">
        <v>474</v>
      </c>
      <c r="M195" s="15"/>
      <c r="N195" s="18" t="s">
        <v>479</v>
      </c>
      <c r="O195" s="12" t="s">
        <v>29</v>
      </c>
      <c r="P195" s="11" t="s">
        <v>489</v>
      </c>
      <c r="Q195" s="19">
        <f t="shared" ref="Q195:R195" si="161">E195</f>
        <v>20</v>
      </c>
      <c r="R195" s="19">
        <f t="shared" si="161"/>
        <v>1310</v>
      </c>
      <c r="S195" s="19">
        <f t="shared" si="154"/>
        <v>26200</v>
      </c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</row>
    <row r="196" ht="18.75" customHeight="1">
      <c r="A196" s="9" t="s">
        <v>34</v>
      </c>
      <c r="B196" s="10">
        <v>4.562309513422E12</v>
      </c>
      <c r="C196" s="10" t="s">
        <v>490</v>
      </c>
      <c r="D196" s="11" t="s">
        <v>491</v>
      </c>
      <c r="E196" s="12">
        <v>1.0</v>
      </c>
      <c r="F196" s="12">
        <v>1170.0</v>
      </c>
      <c r="G196" s="13">
        <f t="shared" si="143"/>
        <v>1170</v>
      </c>
      <c r="H196" s="11"/>
      <c r="I196" s="11" t="s">
        <v>492</v>
      </c>
      <c r="J196" s="14">
        <v>45978.0</v>
      </c>
      <c r="K196" s="15"/>
      <c r="L196" s="15" t="s">
        <v>474</v>
      </c>
      <c r="M196" s="15"/>
      <c r="N196" s="18" t="s">
        <v>127</v>
      </c>
      <c r="O196" s="12" t="s">
        <v>29</v>
      </c>
      <c r="P196" s="11" t="s">
        <v>493</v>
      </c>
      <c r="Q196" s="19">
        <f t="shared" ref="Q196:R196" si="162">E196</f>
        <v>1</v>
      </c>
      <c r="R196" s="19">
        <f t="shared" si="162"/>
        <v>1170</v>
      </c>
      <c r="S196" s="19">
        <f t="shared" si="154"/>
        <v>1170</v>
      </c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</row>
    <row r="197" ht="18.75" customHeight="1">
      <c r="A197" s="9" t="s">
        <v>34</v>
      </c>
      <c r="B197" s="10">
        <v>4.562309513422E12</v>
      </c>
      <c r="C197" s="10" t="s">
        <v>490</v>
      </c>
      <c r="D197" s="11" t="s">
        <v>491</v>
      </c>
      <c r="E197" s="12">
        <v>4.0</v>
      </c>
      <c r="F197" s="12">
        <v>1170.0</v>
      </c>
      <c r="G197" s="13">
        <f t="shared" si="143"/>
        <v>4680</v>
      </c>
      <c r="H197" s="11"/>
      <c r="I197" s="11" t="s">
        <v>492</v>
      </c>
      <c r="J197" s="14">
        <v>45978.0</v>
      </c>
      <c r="K197" s="15"/>
      <c r="L197" s="15" t="s">
        <v>474</v>
      </c>
      <c r="M197" s="15"/>
      <c r="N197" s="18" t="s">
        <v>372</v>
      </c>
      <c r="O197" s="12" t="s">
        <v>29</v>
      </c>
      <c r="P197" s="11" t="s">
        <v>493</v>
      </c>
      <c r="Q197" s="19">
        <f t="shared" ref="Q197:R197" si="163">E197</f>
        <v>4</v>
      </c>
      <c r="R197" s="19">
        <f t="shared" si="163"/>
        <v>1170</v>
      </c>
      <c r="S197" s="19">
        <f t="shared" si="154"/>
        <v>4680</v>
      </c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</row>
    <row r="198" ht="18.75" customHeight="1">
      <c r="A198" s="9" t="s">
        <v>48</v>
      </c>
      <c r="B198" s="10">
        <v>4.562309513422E12</v>
      </c>
      <c r="C198" s="10" t="s">
        <v>490</v>
      </c>
      <c r="D198" s="11" t="s">
        <v>491</v>
      </c>
      <c r="E198" s="12">
        <v>10.0</v>
      </c>
      <c r="F198" s="12">
        <v>1170.0</v>
      </c>
      <c r="G198" s="13">
        <f t="shared" si="143"/>
        <v>11700</v>
      </c>
      <c r="H198" s="11"/>
      <c r="I198" s="11" t="s">
        <v>492</v>
      </c>
      <c r="J198" s="14">
        <v>45978.0</v>
      </c>
      <c r="K198" s="15"/>
      <c r="L198" s="15" t="s">
        <v>474</v>
      </c>
      <c r="M198" s="15"/>
      <c r="N198" s="18" t="s">
        <v>111</v>
      </c>
      <c r="O198" s="12" t="s">
        <v>29</v>
      </c>
      <c r="P198" s="11" t="s">
        <v>493</v>
      </c>
      <c r="Q198" s="19">
        <f t="shared" ref="Q198:R198" si="164">E198</f>
        <v>10</v>
      </c>
      <c r="R198" s="19">
        <f t="shared" si="164"/>
        <v>1170</v>
      </c>
      <c r="S198" s="19">
        <f t="shared" si="154"/>
        <v>11700</v>
      </c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</row>
    <row r="199" ht="18.75" customHeight="1">
      <c r="A199" s="9" t="s">
        <v>42</v>
      </c>
      <c r="B199" s="10">
        <v>4.562309513408E12</v>
      </c>
      <c r="C199" s="10" t="s">
        <v>494</v>
      </c>
      <c r="D199" s="11" t="s">
        <v>495</v>
      </c>
      <c r="E199" s="12">
        <v>5.0</v>
      </c>
      <c r="F199" s="12">
        <v>1400.0</v>
      </c>
      <c r="G199" s="13">
        <f t="shared" si="143"/>
        <v>7000</v>
      </c>
      <c r="H199" s="11"/>
      <c r="I199" s="11" t="s">
        <v>496</v>
      </c>
      <c r="J199" s="14">
        <v>45973.0</v>
      </c>
      <c r="K199" s="15"/>
      <c r="L199" s="15" t="s">
        <v>474</v>
      </c>
      <c r="M199" s="15"/>
      <c r="N199" s="18" t="s">
        <v>479</v>
      </c>
      <c r="O199" s="12" t="s">
        <v>29</v>
      </c>
      <c r="P199" s="11" t="s">
        <v>497</v>
      </c>
      <c r="Q199" s="19">
        <f t="shared" ref="Q199:R199" si="165">E199</f>
        <v>5</v>
      </c>
      <c r="R199" s="19">
        <f t="shared" si="165"/>
        <v>1400</v>
      </c>
      <c r="S199" s="19">
        <f t="shared" si="154"/>
        <v>7000</v>
      </c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</row>
    <row r="200" ht="18.75" customHeight="1">
      <c r="A200" s="9" t="s">
        <v>42</v>
      </c>
      <c r="B200" s="10">
        <v>4.562309512876E12</v>
      </c>
      <c r="C200" s="10" t="s">
        <v>498</v>
      </c>
      <c r="D200" s="11" t="s">
        <v>499</v>
      </c>
      <c r="E200" s="12">
        <v>8.0</v>
      </c>
      <c r="F200" s="12">
        <v>1350.0</v>
      </c>
      <c r="G200" s="13">
        <f t="shared" si="143"/>
        <v>10800</v>
      </c>
      <c r="H200" s="11"/>
      <c r="I200" s="11" t="s">
        <v>500</v>
      </c>
      <c r="J200" s="14">
        <v>45973.0</v>
      </c>
      <c r="K200" s="15"/>
      <c r="L200" s="15" t="s">
        <v>474</v>
      </c>
      <c r="M200" s="15"/>
      <c r="N200" s="18" t="s">
        <v>60</v>
      </c>
      <c r="O200" s="12" t="s">
        <v>29</v>
      </c>
      <c r="P200" s="11" t="s">
        <v>501</v>
      </c>
      <c r="Q200" s="19">
        <f t="shared" ref="Q200:R200" si="166">E200</f>
        <v>8</v>
      </c>
      <c r="R200" s="19">
        <f t="shared" si="166"/>
        <v>1350</v>
      </c>
      <c r="S200" s="19">
        <f t="shared" si="154"/>
        <v>10800</v>
      </c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</row>
    <row r="201" ht="18.75" customHeight="1">
      <c r="A201" s="9" t="s">
        <v>42</v>
      </c>
      <c r="B201" s="10">
        <v>4.562309512838E12</v>
      </c>
      <c r="C201" s="10" t="s">
        <v>502</v>
      </c>
      <c r="D201" s="11" t="s">
        <v>503</v>
      </c>
      <c r="E201" s="12">
        <v>5.0</v>
      </c>
      <c r="F201" s="12">
        <v>1650.0</v>
      </c>
      <c r="G201" s="13">
        <f t="shared" si="143"/>
        <v>8250</v>
      </c>
      <c r="H201" s="11"/>
      <c r="I201" s="11" t="s">
        <v>504</v>
      </c>
      <c r="J201" s="14">
        <v>45973.0</v>
      </c>
      <c r="K201" s="15"/>
      <c r="L201" s="15" t="s">
        <v>474</v>
      </c>
      <c r="M201" s="15"/>
      <c r="N201" s="18" t="s">
        <v>60</v>
      </c>
      <c r="O201" s="12" t="s">
        <v>29</v>
      </c>
      <c r="P201" s="11" t="s">
        <v>505</v>
      </c>
      <c r="Q201" s="19">
        <f t="shared" ref="Q201:R201" si="167">E201</f>
        <v>5</v>
      </c>
      <c r="R201" s="19">
        <f t="shared" si="167"/>
        <v>1650</v>
      </c>
      <c r="S201" s="19">
        <f t="shared" si="154"/>
        <v>8250</v>
      </c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</row>
    <row r="202" ht="18.75" customHeight="1">
      <c r="A202" s="9" t="s">
        <v>42</v>
      </c>
      <c r="B202" s="10">
        <v>4.562309512722E12</v>
      </c>
      <c r="C202" s="10" t="s">
        <v>506</v>
      </c>
      <c r="D202" s="11" t="s">
        <v>507</v>
      </c>
      <c r="E202" s="12">
        <v>3.0</v>
      </c>
      <c r="F202" s="12">
        <v>610.0</v>
      </c>
      <c r="G202" s="13">
        <f t="shared" si="143"/>
        <v>1830</v>
      </c>
      <c r="H202" s="11"/>
      <c r="I202" s="11" t="s">
        <v>508</v>
      </c>
      <c r="J202" s="14">
        <v>45973.0</v>
      </c>
      <c r="K202" s="15"/>
      <c r="L202" s="15" t="s">
        <v>474</v>
      </c>
      <c r="M202" s="15"/>
      <c r="N202" s="18" t="s">
        <v>286</v>
      </c>
      <c r="O202" s="12" t="s">
        <v>29</v>
      </c>
      <c r="P202" s="11" t="s">
        <v>509</v>
      </c>
      <c r="Q202" s="19">
        <f t="shared" ref="Q202:R202" si="168">E202</f>
        <v>3</v>
      </c>
      <c r="R202" s="19">
        <f t="shared" si="168"/>
        <v>610</v>
      </c>
      <c r="S202" s="19">
        <f t="shared" si="154"/>
        <v>1830</v>
      </c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</row>
    <row r="203" ht="18.75" customHeight="1">
      <c r="A203" s="9" t="s">
        <v>42</v>
      </c>
      <c r="B203" s="10">
        <v>4.562309512548E12</v>
      </c>
      <c r="C203" s="10" t="s">
        <v>510</v>
      </c>
      <c r="D203" s="11" t="s">
        <v>511</v>
      </c>
      <c r="E203" s="12">
        <v>1.0</v>
      </c>
      <c r="F203" s="12">
        <v>1390.0</v>
      </c>
      <c r="G203" s="13">
        <f t="shared" si="143"/>
        <v>1390</v>
      </c>
      <c r="H203" s="11"/>
      <c r="I203" s="11" t="s">
        <v>512</v>
      </c>
      <c r="J203" s="14">
        <v>45973.0</v>
      </c>
      <c r="K203" s="15"/>
      <c r="L203" s="15" t="s">
        <v>474</v>
      </c>
      <c r="M203" s="15"/>
      <c r="N203" s="18" t="s">
        <v>286</v>
      </c>
      <c r="O203" s="12" t="s">
        <v>29</v>
      </c>
      <c r="P203" s="11" t="s">
        <v>513</v>
      </c>
      <c r="Q203" s="19">
        <f t="shared" ref="Q203:R203" si="169">E203</f>
        <v>1</v>
      </c>
      <c r="R203" s="19">
        <f t="shared" si="169"/>
        <v>1390</v>
      </c>
      <c r="S203" s="19">
        <f t="shared" si="154"/>
        <v>1390</v>
      </c>
      <c r="T203" s="17">
        <v>14.6</v>
      </c>
      <c r="U203" s="17" t="s">
        <v>117</v>
      </c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</row>
    <row r="204" ht="18.75" customHeight="1">
      <c r="A204" s="9" t="s">
        <v>42</v>
      </c>
      <c r="B204" s="10">
        <v>4.562309512548E12</v>
      </c>
      <c r="C204" s="10" t="s">
        <v>510</v>
      </c>
      <c r="D204" s="11" t="s">
        <v>511</v>
      </c>
      <c r="E204" s="12">
        <v>1.0</v>
      </c>
      <c r="F204" s="12">
        <v>1390.0</v>
      </c>
      <c r="G204" s="13">
        <f t="shared" si="143"/>
        <v>1390</v>
      </c>
      <c r="H204" s="11"/>
      <c r="I204" s="11" t="s">
        <v>512</v>
      </c>
      <c r="J204" s="14">
        <v>45973.0</v>
      </c>
      <c r="K204" s="15"/>
      <c r="L204" s="15" t="s">
        <v>474</v>
      </c>
      <c r="M204" s="15"/>
      <c r="N204" s="18" t="s">
        <v>479</v>
      </c>
      <c r="O204" s="12" t="s">
        <v>29</v>
      </c>
      <c r="P204" s="11" t="s">
        <v>513</v>
      </c>
      <c r="Q204" s="19">
        <f t="shared" ref="Q204:R204" si="170">E204</f>
        <v>1</v>
      </c>
      <c r="R204" s="19">
        <f t="shared" si="170"/>
        <v>1390</v>
      </c>
      <c r="S204" s="19">
        <f t="shared" si="154"/>
        <v>1390</v>
      </c>
      <c r="T204" s="17">
        <v>17.4</v>
      </c>
      <c r="U204" s="17" t="s">
        <v>112</v>
      </c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</row>
    <row r="205" ht="18.75" customHeight="1">
      <c r="A205" s="9" t="s">
        <v>42</v>
      </c>
      <c r="B205" s="10">
        <v>4.562309511688E12</v>
      </c>
      <c r="C205" s="10" t="s">
        <v>514</v>
      </c>
      <c r="D205" s="11" t="s">
        <v>515</v>
      </c>
      <c r="E205" s="12">
        <v>5.0</v>
      </c>
      <c r="F205" s="12">
        <v>1510.0</v>
      </c>
      <c r="G205" s="13">
        <f t="shared" si="143"/>
        <v>7550</v>
      </c>
      <c r="H205" s="11"/>
      <c r="I205" s="11" t="s">
        <v>516</v>
      </c>
      <c r="J205" s="14">
        <v>45973.0</v>
      </c>
      <c r="K205" s="15"/>
      <c r="L205" s="15" t="s">
        <v>474</v>
      </c>
      <c r="M205" s="15"/>
      <c r="N205" s="18" t="s">
        <v>60</v>
      </c>
      <c r="O205" s="12" t="s">
        <v>29</v>
      </c>
      <c r="P205" s="11" t="s">
        <v>517</v>
      </c>
      <c r="Q205" s="19">
        <f t="shared" ref="Q205:R205" si="171">E205</f>
        <v>5</v>
      </c>
      <c r="R205" s="19">
        <f t="shared" si="171"/>
        <v>1510</v>
      </c>
      <c r="S205" s="19">
        <f t="shared" si="154"/>
        <v>7550</v>
      </c>
      <c r="T205" s="17">
        <v>19.6</v>
      </c>
      <c r="U205" s="17" t="s">
        <v>518</v>
      </c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</row>
    <row r="206" ht="18.75" customHeight="1">
      <c r="A206" s="9" t="s">
        <v>42</v>
      </c>
      <c r="B206" s="10">
        <v>4.562309511619E12</v>
      </c>
      <c r="C206" s="10" t="s">
        <v>519</v>
      </c>
      <c r="D206" s="11" t="s">
        <v>520</v>
      </c>
      <c r="E206" s="12">
        <v>5.0</v>
      </c>
      <c r="F206" s="12">
        <v>450.0</v>
      </c>
      <c r="G206" s="13">
        <f t="shared" si="143"/>
        <v>2250</v>
      </c>
      <c r="H206" s="11"/>
      <c r="I206" s="11" t="s">
        <v>521</v>
      </c>
      <c r="J206" s="14">
        <v>45973.0</v>
      </c>
      <c r="K206" s="15"/>
      <c r="L206" s="15" t="s">
        <v>474</v>
      </c>
      <c r="M206" s="15"/>
      <c r="N206" s="18" t="s">
        <v>286</v>
      </c>
      <c r="O206" s="12" t="s">
        <v>29</v>
      </c>
      <c r="P206" s="11" t="s">
        <v>522</v>
      </c>
      <c r="Q206" s="19">
        <f t="shared" ref="Q206:R206" si="172">E206</f>
        <v>5</v>
      </c>
      <c r="R206" s="19">
        <f t="shared" si="172"/>
        <v>450</v>
      </c>
      <c r="S206" s="19">
        <f t="shared" si="154"/>
        <v>2250</v>
      </c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</row>
    <row r="207" ht="18.75" customHeight="1">
      <c r="A207" s="9" t="s">
        <v>105</v>
      </c>
      <c r="B207" s="10">
        <v>4.589411376714E12</v>
      </c>
      <c r="C207" s="10" t="s">
        <v>523</v>
      </c>
      <c r="D207" s="11" t="s">
        <v>524</v>
      </c>
      <c r="E207" s="12">
        <v>1.0</v>
      </c>
      <c r="F207" s="12">
        <v>880.0</v>
      </c>
      <c r="G207" s="13">
        <f t="shared" si="143"/>
        <v>880</v>
      </c>
      <c r="H207" s="11"/>
      <c r="I207" s="11"/>
      <c r="J207" s="14">
        <v>45972.0</v>
      </c>
      <c r="K207" s="15"/>
      <c r="L207" s="15" t="s">
        <v>525</v>
      </c>
      <c r="M207" s="15"/>
      <c r="N207" s="18" t="s">
        <v>372</v>
      </c>
      <c r="O207" s="12" t="s">
        <v>29</v>
      </c>
      <c r="P207" s="11" t="s">
        <v>526</v>
      </c>
      <c r="Q207" s="19">
        <f t="shared" ref="Q207:R207" si="173">E207</f>
        <v>1</v>
      </c>
      <c r="R207" s="19">
        <f t="shared" si="173"/>
        <v>880</v>
      </c>
      <c r="S207" s="19">
        <f t="shared" si="154"/>
        <v>880</v>
      </c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</row>
    <row r="208" ht="18.75" customHeight="1">
      <c r="A208" s="9" t="s">
        <v>34</v>
      </c>
      <c r="B208" s="10">
        <v>4.571360814249E12</v>
      </c>
      <c r="C208" s="10" t="s">
        <v>527</v>
      </c>
      <c r="D208" s="11" t="s">
        <v>528</v>
      </c>
      <c r="E208" s="12">
        <v>1.0</v>
      </c>
      <c r="F208" s="12">
        <v>7550.0</v>
      </c>
      <c r="G208" s="13">
        <f t="shared" si="143"/>
        <v>7550</v>
      </c>
      <c r="H208" s="11"/>
      <c r="I208" s="11"/>
      <c r="J208" s="14">
        <v>45950.0</v>
      </c>
      <c r="K208" s="15"/>
      <c r="L208" s="15" t="s">
        <v>529</v>
      </c>
      <c r="M208" s="15"/>
      <c r="N208" s="18" t="s">
        <v>299</v>
      </c>
      <c r="O208" s="12" t="s">
        <v>29</v>
      </c>
      <c r="P208" s="11" t="s">
        <v>530</v>
      </c>
      <c r="Q208" s="19">
        <f t="shared" ref="Q208:R208" si="174">E208</f>
        <v>1</v>
      </c>
      <c r="R208" s="19">
        <f t="shared" si="174"/>
        <v>7550</v>
      </c>
      <c r="S208" s="19">
        <f t="shared" si="154"/>
        <v>7550</v>
      </c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</row>
    <row r="209" ht="18.75" customHeight="1">
      <c r="A209" s="9" t="s">
        <v>34</v>
      </c>
      <c r="B209" s="10">
        <v>4.571360814249E12</v>
      </c>
      <c r="C209" s="10" t="s">
        <v>527</v>
      </c>
      <c r="D209" s="11" t="s">
        <v>528</v>
      </c>
      <c r="E209" s="12">
        <v>9.0</v>
      </c>
      <c r="F209" s="12">
        <v>7550.0</v>
      </c>
      <c r="G209" s="13">
        <f t="shared" si="143"/>
        <v>67950</v>
      </c>
      <c r="H209" s="11"/>
      <c r="I209" s="11"/>
      <c r="J209" s="14">
        <v>45950.0</v>
      </c>
      <c r="K209" s="15"/>
      <c r="L209" s="15" t="s">
        <v>529</v>
      </c>
      <c r="M209" s="15"/>
      <c r="N209" s="18" t="s">
        <v>531</v>
      </c>
      <c r="O209" s="12" t="s">
        <v>29</v>
      </c>
      <c r="P209" s="11" t="s">
        <v>530</v>
      </c>
      <c r="Q209" s="19">
        <f t="shared" ref="Q209:R209" si="175">E209</f>
        <v>9</v>
      </c>
      <c r="R209" s="19">
        <f t="shared" si="175"/>
        <v>7550</v>
      </c>
      <c r="S209" s="19">
        <f t="shared" si="154"/>
        <v>67950</v>
      </c>
      <c r="T209" s="17">
        <v>23.5</v>
      </c>
      <c r="U209" s="17" t="s">
        <v>532</v>
      </c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</row>
    <row r="210" ht="18.75" customHeight="1">
      <c r="A210" s="9" t="s">
        <v>44</v>
      </c>
      <c r="B210" s="10">
        <v>4.571360814249E12</v>
      </c>
      <c r="C210" s="10" t="s">
        <v>527</v>
      </c>
      <c r="D210" s="11" t="s">
        <v>528</v>
      </c>
      <c r="E210" s="12">
        <v>5.0</v>
      </c>
      <c r="F210" s="12">
        <v>7550.0</v>
      </c>
      <c r="G210" s="13">
        <f t="shared" si="143"/>
        <v>37750</v>
      </c>
      <c r="H210" s="11"/>
      <c r="I210" s="11"/>
      <c r="J210" s="14">
        <v>45964.0</v>
      </c>
      <c r="K210" s="15"/>
      <c r="L210" s="15" t="s">
        <v>529</v>
      </c>
      <c r="M210" s="15"/>
      <c r="N210" s="18" t="s">
        <v>47</v>
      </c>
      <c r="O210" s="12" t="s">
        <v>29</v>
      </c>
      <c r="P210" s="11" t="s">
        <v>530</v>
      </c>
      <c r="Q210" s="19">
        <f t="shared" ref="Q210:R210" si="176">E210</f>
        <v>5</v>
      </c>
      <c r="R210" s="19">
        <f t="shared" si="176"/>
        <v>7550</v>
      </c>
      <c r="S210" s="19">
        <f t="shared" si="154"/>
        <v>37750</v>
      </c>
      <c r="T210" s="17">
        <v>14.4</v>
      </c>
      <c r="U210" s="17" t="s">
        <v>46</v>
      </c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</row>
    <row r="211" ht="18.75" customHeight="1">
      <c r="A211" s="9" t="s">
        <v>44</v>
      </c>
      <c r="B211" s="10">
        <v>4.571360813112E12</v>
      </c>
      <c r="C211" s="10" t="s">
        <v>533</v>
      </c>
      <c r="D211" s="11" t="s">
        <v>534</v>
      </c>
      <c r="E211" s="12">
        <v>6.0</v>
      </c>
      <c r="F211" s="12">
        <v>2850.0</v>
      </c>
      <c r="G211" s="13">
        <f t="shared" si="143"/>
        <v>17100</v>
      </c>
      <c r="H211" s="11"/>
      <c r="I211" s="11"/>
      <c r="J211" s="14">
        <v>45974.0</v>
      </c>
      <c r="K211" s="15"/>
      <c r="L211" s="15" t="s">
        <v>529</v>
      </c>
      <c r="M211" s="15"/>
      <c r="N211" s="18" t="s">
        <v>390</v>
      </c>
      <c r="O211" s="12" t="s">
        <v>29</v>
      </c>
      <c r="P211" s="11" t="s">
        <v>535</v>
      </c>
      <c r="Q211" s="19">
        <f t="shared" ref="Q211:R211" si="177">E211</f>
        <v>6</v>
      </c>
      <c r="R211" s="19">
        <f t="shared" si="177"/>
        <v>2850</v>
      </c>
      <c r="S211" s="19">
        <f t="shared" si="154"/>
        <v>17100</v>
      </c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</row>
    <row r="212" ht="18.75" customHeight="1">
      <c r="A212" s="9" t="s">
        <v>44</v>
      </c>
      <c r="B212" s="10">
        <v>4.571360813112E12</v>
      </c>
      <c r="C212" s="10" t="s">
        <v>533</v>
      </c>
      <c r="D212" s="11" t="s">
        <v>534</v>
      </c>
      <c r="E212" s="12">
        <v>4.0</v>
      </c>
      <c r="F212" s="12">
        <v>2850.0</v>
      </c>
      <c r="G212" s="13">
        <f t="shared" si="143"/>
        <v>11400</v>
      </c>
      <c r="H212" s="11"/>
      <c r="I212" s="11"/>
      <c r="J212" s="14">
        <v>45974.0</v>
      </c>
      <c r="K212" s="15"/>
      <c r="L212" s="15" t="s">
        <v>529</v>
      </c>
      <c r="M212" s="15"/>
      <c r="N212" s="18" t="s">
        <v>476</v>
      </c>
      <c r="O212" s="12" t="s">
        <v>29</v>
      </c>
      <c r="P212" s="11" t="s">
        <v>535</v>
      </c>
      <c r="Q212" s="19">
        <f t="shared" ref="Q212:R212" si="178">E212</f>
        <v>4</v>
      </c>
      <c r="R212" s="19">
        <f t="shared" si="178"/>
        <v>2850</v>
      </c>
      <c r="S212" s="19">
        <f t="shared" si="154"/>
        <v>11400</v>
      </c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</row>
    <row r="213" ht="18.75" customHeight="1">
      <c r="A213" s="9" t="s">
        <v>44</v>
      </c>
      <c r="B213" s="10">
        <v>4.571360812542E12</v>
      </c>
      <c r="C213" s="10" t="s">
        <v>536</v>
      </c>
      <c r="D213" s="11" t="s">
        <v>537</v>
      </c>
      <c r="E213" s="12">
        <v>4.0</v>
      </c>
      <c r="F213" s="12">
        <v>1375.0</v>
      </c>
      <c r="G213" s="13">
        <f t="shared" si="143"/>
        <v>5500</v>
      </c>
      <c r="H213" s="11"/>
      <c r="I213" s="11"/>
      <c r="J213" s="14">
        <v>45974.0</v>
      </c>
      <c r="K213" s="15"/>
      <c r="L213" s="15" t="s">
        <v>529</v>
      </c>
      <c r="M213" s="15"/>
      <c r="N213" s="18" t="s">
        <v>390</v>
      </c>
      <c r="O213" s="12" t="s">
        <v>29</v>
      </c>
      <c r="P213" s="11" t="s">
        <v>538</v>
      </c>
      <c r="Q213" s="19">
        <f t="shared" ref="Q213:R213" si="179">E213</f>
        <v>4</v>
      </c>
      <c r="R213" s="19">
        <f t="shared" si="179"/>
        <v>1375</v>
      </c>
      <c r="S213" s="19">
        <f t="shared" si="154"/>
        <v>5500</v>
      </c>
      <c r="T213" s="17">
        <v>24.5</v>
      </c>
      <c r="U213" s="17" t="s">
        <v>318</v>
      </c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</row>
    <row r="214" ht="18.75" customHeight="1">
      <c r="A214" s="9" t="s">
        <v>44</v>
      </c>
      <c r="B214" s="10">
        <v>4.571360812542E12</v>
      </c>
      <c r="C214" s="10" t="s">
        <v>536</v>
      </c>
      <c r="D214" s="11" t="s">
        <v>537</v>
      </c>
      <c r="E214" s="12">
        <v>11.0</v>
      </c>
      <c r="F214" s="12">
        <v>1375.0</v>
      </c>
      <c r="G214" s="13">
        <f t="shared" si="143"/>
        <v>15125</v>
      </c>
      <c r="H214" s="11"/>
      <c r="I214" s="11"/>
      <c r="J214" s="14">
        <v>45974.0</v>
      </c>
      <c r="K214" s="15"/>
      <c r="L214" s="15" t="s">
        <v>529</v>
      </c>
      <c r="M214" s="15"/>
      <c r="N214" s="18" t="s">
        <v>476</v>
      </c>
      <c r="O214" s="12" t="s">
        <v>29</v>
      </c>
      <c r="P214" s="11" t="s">
        <v>538</v>
      </c>
      <c r="Q214" s="19">
        <f t="shared" ref="Q214:R214" si="180">E214</f>
        <v>11</v>
      </c>
      <c r="R214" s="19">
        <f t="shared" si="180"/>
        <v>1375</v>
      </c>
      <c r="S214" s="19">
        <f t="shared" si="154"/>
        <v>15125</v>
      </c>
      <c r="T214" s="17">
        <v>16.9</v>
      </c>
      <c r="U214" s="17" t="s">
        <v>112</v>
      </c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</row>
    <row r="215" ht="18.75" customHeight="1">
      <c r="A215" s="9" t="s">
        <v>105</v>
      </c>
      <c r="B215" s="10">
        <v>4.582688863444E12</v>
      </c>
      <c r="C215" s="10" t="s">
        <v>539</v>
      </c>
      <c r="D215" s="11" t="s">
        <v>540</v>
      </c>
      <c r="E215" s="12">
        <v>8.0</v>
      </c>
      <c r="F215" s="12">
        <v>1905.0</v>
      </c>
      <c r="G215" s="13">
        <f t="shared" si="143"/>
        <v>15240</v>
      </c>
      <c r="H215" s="11"/>
      <c r="I215" s="11"/>
      <c r="J215" s="14">
        <v>45972.0</v>
      </c>
      <c r="K215" s="15"/>
      <c r="L215" s="15" t="s">
        <v>541</v>
      </c>
      <c r="M215" s="15"/>
      <c r="N215" s="18" t="s">
        <v>220</v>
      </c>
      <c r="O215" s="12" t="s">
        <v>18</v>
      </c>
      <c r="P215" s="11" t="s">
        <v>539</v>
      </c>
      <c r="Q215" s="19">
        <f t="shared" ref="Q215:R215" si="181">E215</f>
        <v>8</v>
      </c>
      <c r="R215" s="19">
        <f t="shared" si="181"/>
        <v>1905</v>
      </c>
      <c r="S215" s="19">
        <f t="shared" si="154"/>
        <v>15240</v>
      </c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</row>
    <row r="216" ht="18.75" customHeight="1">
      <c r="A216" s="9" t="s">
        <v>105</v>
      </c>
      <c r="B216" s="10">
        <v>4.582688861464E12</v>
      </c>
      <c r="C216" s="10" t="s">
        <v>542</v>
      </c>
      <c r="D216" s="11" t="s">
        <v>543</v>
      </c>
      <c r="E216" s="12">
        <v>1.0</v>
      </c>
      <c r="F216" s="12">
        <v>1477.0</v>
      </c>
      <c r="G216" s="13">
        <f t="shared" si="143"/>
        <v>1477</v>
      </c>
      <c r="H216" s="11"/>
      <c r="I216" s="11"/>
      <c r="J216" s="14">
        <v>45972.0</v>
      </c>
      <c r="K216" s="15"/>
      <c r="L216" s="15" t="s">
        <v>541</v>
      </c>
      <c r="M216" s="15"/>
      <c r="N216" s="18" t="s">
        <v>220</v>
      </c>
      <c r="O216" s="12" t="s">
        <v>18</v>
      </c>
      <c r="P216" s="11" t="s">
        <v>544</v>
      </c>
      <c r="Q216" s="19">
        <f t="shared" ref="Q216:Q218" si="182">E216</f>
        <v>1</v>
      </c>
      <c r="R216" s="20">
        <v>1475.0</v>
      </c>
      <c r="S216" s="19">
        <f t="shared" si="154"/>
        <v>1475</v>
      </c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</row>
    <row r="217" ht="18.75" customHeight="1">
      <c r="A217" s="9" t="s">
        <v>105</v>
      </c>
      <c r="B217" s="10">
        <v>4.582688858655E12</v>
      </c>
      <c r="C217" s="10" t="s">
        <v>545</v>
      </c>
      <c r="D217" s="11" t="s">
        <v>546</v>
      </c>
      <c r="E217" s="12">
        <v>1.0</v>
      </c>
      <c r="F217" s="12">
        <v>1235.0</v>
      </c>
      <c r="G217" s="13">
        <f t="shared" si="143"/>
        <v>1235</v>
      </c>
      <c r="H217" s="11"/>
      <c r="I217" s="11"/>
      <c r="J217" s="14">
        <v>45972.0</v>
      </c>
      <c r="K217" s="15"/>
      <c r="L217" s="15" t="s">
        <v>541</v>
      </c>
      <c r="M217" s="15"/>
      <c r="N217" s="18" t="s">
        <v>220</v>
      </c>
      <c r="O217" s="12" t="s">
        <v>18</v>
      </c>
      <c r="P217" s="11" t="s">
        <v>547</v>
      </c>
      <c r="Q217" s="19">
        <f t="shared" si="182"/>
        <v>1</v>
      </c>
      <c r="R217" s="19">
        <f t="shared" ref="R217:R218" si="183">F217</f>
        <v>1235</v>
      </c>
      <c r="S217" s="19">
        <f t="shared" si="154"/>
        <v>1235</v>
      </c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</row>
    <row r="218" ht="18.75" customHeight="1">
      <c r="A218" s="9" t="s">
        <v>105</v>
      </c>
      <c r="B218" s="10">
        <v>4.988117913337E12</v>
      </c>
      <c r="C218" s="10" t="s">
        <v>548</v>
      </c>
      <c r="D218" s="11" t="s">
        <v>549</v>
      </c>
      <c r="E218" s="12">
        <v>1.0</v>
      </c>
      <c r="F218" s="12">
        <v>1654.0</v>
      </c>
      <c r="G218" s="13">
        <f t="shared" si="143"/>
        <v>1654</v>
      </c>
      <c r="H218" s="11"/>
      <c r="I218" s="11"/>
      <c r="J218" s="14">
        <v>45972.0</v>
      </c>
      <c r="K218" s="15"/>
      <c r="L218" s="15" t="s">
        <v>550</v>
      </c>
      <c r="M218" s="15"/>
      <c r="N218" s="18" t="s">
        <v>220</v>
      </c>
      <c r="O218" s="12" t="s">
        <v>18</v>
      </c>
      <c r="P218" s="11" t="s">
        <v>551</v>
      </c>
      <c r="Q218" s="19">
        <f t="shared" si="182"/>
        <v>1</v>
      </c>
      <c r="R218" s="19">
        <f t="shared" si="183"/>
        <v>1654</v>
      </c>
      <c r="S218" s="19">
        <f t="shared" si="154"/>
        <v>1654</v>
      </c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</row>
    <row r="219" ht="18.75" customHeight="1">
      <c r="A219" s="9" t="s">
        <v>34</v>
      </c>
      <c r="B219" s="10">
        <v>4.526374570414E12</v>
      </c>
      <c r="C219" s="10"/>
      <c r="D219" s="11" t="s">
        <v>552</v>
      </c>
      <c r="E219" s="12">
        <v>8.0</v>
      </c>
      <c r="F219" s="12">
        <v>2095.0</v>
      </c>
      <c r="G219" s="13">
        <f t="shared" si="143"/>
        <v>16760</v>
      </c>
      <c r="H219" s="11"/>
      <c r="I219" s="11" t="s">
        <v>553</v>
      </c>
      <c r="J219" s="14">
        <v>45946.0</v>
      </c>
      <c r="K219" s="15"/>
      <c r="L219" s="15" t="s">
        <v>554</v>
      </c>
      <c r="M219" s="15"/>
      <c r="N219" s="18"/>
      <c r="O219" s="12"/>
      <c r="P219" s="11"/>
      <c r="Q219" s="19"/>
      <c r="R219" s="19"/>
      <c r="S219" s="19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</row>
    <row r="220" ht="18.75" customHeight="1">
      <c r="A220" s="9" t="s">
        <v>34</v>
      </c>
      <c r="B220" s="10">
        <v>4.526374570414E12</v>
      </c>
      <c r="C220" s="10"/>
      <c r="D220" s="11" t="s">
        <v>552</v>
      </c>
      <c r="E220" s="12">
        <v>28.0</v>
      </c>
      <c r="F220" s="12">
        <v>2095.0</v>
      </c>
      <c r="G220" s="13">
        <f t="shared" si="143"/>
        <v>58660</v>
      </c>
      <c r="H220" s="11"/>
      <c r="I220" s="11" t="s">
        <v>553</v>
      </c>
      <c r="J220" s="14">
        <v>45946.0</v>
      </c>
      <c r="K220" s="15"/>
      <c r="L220" s="15" t="s">
        <v>554</v>
      </c>
      <c r="M220" s="15"/>
      <c r="N220" s="18"/>
      <c r="O220" s="12"/>
      <c r="P220" s="11"/>
      <c r="Q220" s="19"/>
      <c r="R220" s="19"/>
      <c r="S220" s="19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</row>
    <row r="221" ht="18.75" customHeight="1">
      <c r="A221" s="9" t="s">
        <v>44</v>
      </c>
      <c r="B221" s="10">
        <v>4.526374570414E12</v>
      </c>
      <c r="C221" s="10"/>
      <c r="D221" s="11" t="s">
        <v>552</v>
      </c>
      <c r="E221" s="12">
        <v>5.0</v>
      </c>
      <c r="F221" s="12">
        <v>2095.0</v>
      </c>
      <c r="G221" s="13">
        <f t="shared" si="143"/>
        <v>10475</v>
      </c>
      <c r="H221" s="11"/>
      <c r="I221" s="11"/>
      <c r="J221" s="14">
        <v>45964.0</v>
      </c>
      <c r="K221" s="15"/>
      <c r="L221" s="15" t="s">
        <v>554</v>
      </c>
      <c r="M221" s="15"/>
      <c r="N221" s="18" t="s">
        <v>191</v>
      </c>
      <c r="O221" s="12" t="s">
        <v>29</v>
      </c>
      <c r="P221" s="11" t="s">
        <v>555</v>
      </c>
      <c r="Q221" s="19">
        <f t="shared" ref="Q221:R221" si="184">E221</f>
        <v>5</v>
      </c>
      <c r="R221" s="19">
        <f t="shared" si="184"/>
        <v>2095</v>
      </c>
      <c r="S221" s="19">
        <f t="shared" ref="S221:S223" si="186">R221*Q221</f>
        <v>10475</v>
      </c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</row>
    <row r="222" ht="18.75" customHeight="1">
      <c r="A222" s="9" t="s">
        <v>44</v>
      </c>
      <c r="B222" s="10">
        <v>4.526374570155E12</v>
      </c>
      <c r="C222" s="10"/>
      <c r="D222" s="19" t="s">
        <v>556</v>
      </c>
      <c r="E222" s="12">
        <v>5.0</v>
      </c>
      <c r="F222" s="12">
        <v>1882.0</v>
      </c>
      <c r="G222" s="13">
        <f t="shared" si="143"/>
        <v>9410</v>
      </c>
      <c r="H222" s="11"/>
      <c r="I222" s="11"/>
      <c r="J222" s="14">
        <v>45964.0</v>
      </c>
      <c r="K222" s="15"/>
      <c r="L222" s="15" t="s">
        <v>554</v>
      </c>
      <c r="M222" s="15"/>
      <c r="N222" s="18" t="s">
        <v>175</v>
      </c>
      <c r="O222" s="12" t="s">
        <v>29</v>
      </c>
      <c r="P222" s="11" t="s">
        <v>557</v>
      </c>
      <c r="Q222" s="19">
        <f t="shared" ref="Q222:R222" si="185">E222</f>
        <v>5</v>
      </c>
      <c r="R222" s="19">
        <f t="shared" si="185"/>
        <v>1882</v>
      </c>
      <c r="S222" s="19">
        <f t="shared" si="186"/>
        <v>9410</v>
      </c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</row>
    <row r="223" ht="18.75" customHeight="1">
      <c r="A223" s="9" t="s">
        <v>44</v>
      </c>
      <c r="B223" s="10">
        <v>4.526374370175E12</v>
      </c>
      <c r="C223" s="10"/>
      <c r="D223" s="11" t="s">
        <v>558</v>
      </c>
      <c r="E223" s="12">
        <v>5.0</v>
      </c>
      <c r="F223" s="12">
        <v>2183.0</v>
      </c>
      <c r="G223" s="13">
        <f t="shared" si="143"/>
        <v>10915</v>
      </c>
      <c r="H223" s="11"/>
      <c r="I223" s="11"/>
      <c r="J223" s="14">
        <v>45964.0</v>
      </c>
      <c r="K223" s="15"/>
      <c r="L223" s="15" t="s">
        <v>554</v>
      </c>
      <c r="M223" s="15"/>
      <c r="N223" s="18" t="s">
        <v>191</v>
      </c>
      <c r="O223" s="12" t="s">
        <v>29</v>
      </c>
      <c r="P223" s="11" t="s">
        <v>559</v>
      </c>
      <c r="Q223" s="19">
        <f t="shared" ref="Q223:R223" si="187">E223</f>
        <v>5</v>
      </c>
      <c r="R223" s="19">
        <f t="shared" si="187"/>
        <v>2183</v>
      </c>
      <c r="S223" s="19">
        <f t="shared" si="186"/>
        <v>10915</v>
      </c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</row>
    <row r="224" ht="18.75" customHeight="1">
      <c r="A224" s="9" t="s">
        <v>7</v>
      </c>
      <c r="B224" s="10">
        <v>4.526374370151E12</v>
      </c>
      <c r="C224" s="10"/>
      <c r="D224" s="11" t="s">
        <v>560</v>
      </c>
      <c r="E224" s="12">
        <v>4.0</v>
      </c>
      <c r="F224" s="12">
        <v>1301.0</v>
      </c>
      <c r="G224" s="13">
        <f t="shared" si="143"/>
        <v>5204</v>
      </c>
      <c r="H224" s="11"/>
      <c r="I224" s="11" t="s">
        <v>561</v>
      </c>
      <c r="J224" s="14">
        <v>45964.0</v>
      </c>
      <c r="K224" s="15"/>
      <c r="L224" s="15" t="s">
        <v>554</v>
      </c>
      <c r="M224" s="15"/>
      <c r="N224" s="18"/>
      <c r="O224" s="12"/>
      <c r="P224" s="11"/>
      <c r="Q224" s="19"/>
      <c r="R224" s="19"/>
      <c r="S224" s="19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</row>
    <row r="225" ht="18.75" customHeight="1">
      <c r="A225" s="9" t="s">
        <v>7</v>
      </c>
      <c r="B225" s="10">
        <v>4.526374370151E12</v>
      </c>
      <c r="C225" s="10"/>
      <c r="D225" s="11" t="s">
        <v>560</v>
      </c>
      <c r="E225" s="12">
        <v>4.0</v>
      </c>
      <c r="F225" s="12">
        <v>1301.0</v>
      </c>
      <c r="G225" s="13">
        <f t="shared" si="143"/>
        <v>5204</v>
      </c>
      <c r="H225" s="11"/>
      <c r="I225" s="11" t="s">
        <v>561</v>
      </c>
      <c r="J225" s="14">
        <v>45964.0</v>
      </c>
      <c r="K225" s="15"/>
      <c r="L225" s="15" t="s">
        <v>554</v>
      </c>
      <c r="M225" s="15"/>
      <c r="N225" s="18"/>
      <c r="O225" s="12"/>
      <c r="P225" s="11"/>
      <c r="Q225" s="19"/>
      <c r="R225" s="19"/>
      <c r="S225" s="19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</row>
    <row r="226" ht="18.75" customHeight="1">
      <c r="A226" s="9" t="s">
        <v>7</v>
      </c>
      <c r="B226" s="10">
        <v>4.526374370151E12</v>
      </c>
      <c r="C226" s="10"/>
      <c r="D226" s="11" t="s">
        <v>560</v>
      </c>
      <c r="E226" s="12">
        <v>2.0</v>
      </c>
      <c r="F226" s="12">
        <v>1301.0</v>
      </c>
      <c r="G226" s="13">
        <f t="shared" si="143"/>
        <v>2602</v>
      </c>
      <c r="H226" s="11"/>
      <c r="I226" s="11" t="s">
        <v>561</v>
      </c>
      <c r="J226" s="14">
        <v>45964.0</v>
      </c>
      <c r="K226" s="15"/>
      <c r="L226" s="15" t="s">
        <v>554</v>
      </c>
      <c r="M226" s="15"/>
      <c r="N226" s="18"/>
      <c r="O226" s="12"/>
      <c r="P226" s="11"/>
      <c r="Q226" s="19"/>
      <c r="R226" s="19"/>
      <c r="S226" s="19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</row>
    <row r="227" ht="18.75" customHeight="1">
      <c r="A227" s="9" t="s">
        <v>7</v>
      </c>
      <c r="B227" s="10">
        <v>4.526374370151E12</v>
      </c>
      <c r="C227" s="10"/>
      <c r="D227" s="11" t="s">
        <v>560</v>
      </c>
      <c r="E227" s="12">
        <v>10.0</v>
      </c>
      <c r="F227" s="12">
        <v>1301.0</v>
      </c>
      <c r="G227" s="13">
        <f t="shared" si="143"/>
        <v>13010</v>
      </c>
      <c r="H227" s="11"/>
      <c r="I227" s="11" t="s">
        <v>561</v>
      </c>
      <c r="J227" s="14">
        <v>45964.0</v>
      </c>
      <c r="K227" s="15"/>
      <c r="L227" s="15" t="s">
        <v>554</v>
      </c>
      <c r="M227" s="15"/>
      <c r="N227" s="18"/>
      <c r="O227" s="12"/>
      <c r="P227" s="11"/>
      <c r="Q227" s="19"/>
      <c r="R227" s="19"/>
      <c r="S227" s="19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</row>
    <row r="228" ht="18.75" customHeight="1">
      <c r="A228" s="9" t="s">
        <v>7</v>
      </c>
      <c r="B228" s="10">
        <v>4.526374217142E12</v>
      </c>
      <c r="C228" s="10"/>
      <c r="D228" s="11" t="s">
        <v>562</v>
      </c>
      <c r="E228" s="12">
        <v>2.0</v>
      </c>
      <c r="F228" s="12">
        <v>2426.0</v>
      </c>
      <c r="G228" s="13">
        <f t="shared" si="143"/>
        <v>4852</v>
      </c>
      <c r="H228" s="11"/>
      <c r="I228" s="11"/>
      <c r="J228" s="14">
        <v>45952.0</v>
      </c>
      <c r="K228" s="15"/>
      <c r="L228" s="15" t="s">
        <v>554</v>
      </c>
      <c r="M228" s="15"/>
      <c r="N228" s="18"/>
      <c r="O228" s="12"/>
      <c r="P228" s="11"/>
      <c r="Q228" s="19"/>
      <c r="R228" s="19"/>
      <c r="S228" s="19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</row>
    <row r="229" ht="18.75" customHeight="1">
      <c r="A229" s="9" t="s">
        <v>7</v>
      </c>
      <c r="B229" s="10">
        <v>4.526374217142E12</v>
      </c>
      <c r="C229" s="10"/>
      <c r="D229" s="11" t="s">
        <v>562</v>
      </c>
      <c r="E229" s="12">
        <v>1.0</v>
      </c>
      <c r="F229" s="12">
        <v>2426.0</v>
      </c>
      <c r="G229" s="13">
        <f t="shared" si="143"/>
        <v>2426</v>
      </c>
      <c r="H229" s="11"/>
      <c r="I229" s="11"/>
      <c r="J229" s="14">
        <v>45952.0</v>
      </c>
      <c r="K229" s="15"/>
      <c r="L229" s="15" t="s">
        <v>554</v>
      </c>
      <c r="M229" s="15"/>
      <c r="N229" s="18"/>
      <c r="O229" s="12"/>
      <c r="P229" s="11"/>
      <c r="Q229" s="19"/>
      <c r="R229" s="19"/>
      <c r="S229" s="19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</row>
    <row r="230" ht="18.75" customHeight="1">
      <c r="A230" s="9" t="s">
        <v>7</v>
      </c>
      <c r="B230" s="10">
        <v>4.526374159008E12</v>
      </c>
      <c r="C230" s="10"/>
      <c r="D230" s="11" t="s">
        <v>563</v>
      </c>
      <c r="E230" s="12">
        <v>10.0</v>
      </c>
      <c r="F230" s="12">
        <v>441.0</v>
      </c>
      <c r="G230" s="13">
        <f t="shared" si="143"/>
        <v>4410</v>
      </c>
      <c r="H230" s="11"/>
      <c r="I230" s="11"/>
      <c r="J230" s="14">
        <v>45873.0</v>
      </c>
      <c r="K230" s="15"/>
      <c r="L230" s="15" t="s">
        <v>554</v>
      </c>
      <c r="M230" s="15"/>
      <c r="N230" s="18"/>
      <c r="O230" s="12"/>
      <c r="P230" s="11"/>
      <c r="Q230" s="19"/>
      <c r="R230" s="19"/>
      <c r="S230" s="19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</row>
    <row r="231" ht="18.75" customHeight="1">
      <c r="A231" s="9" t="s">
        <v>7</v>
      </c>
      <c r="B231" s="10">
        <v>4.526374159008E12</v>
      </c>
      <c r="C231" s="10"/>
      <c r="D231" s="11" t="s">
        <v>563</v>
      </c>
      <c r="E231" s="12">
        <v>15.0</v>
      </c>
      <c r="F231" s="12">
        <v>441.0</v>
      </c>
      <c r="G231" s="13">
        <f t="shared" si="143"/>
        <v>6615</v>
      </c>
      <c r="H231" s="11"/>
      <c r="I231" s="11"/>
      <c r="J231" s="14">
        <v>45873.0</v>
      </c>
      <c r="K231" s="15"/>
      <c r="L231" s="15" t="s">
        <v>554</v>
      </c>
      <c r="M231" s="15"/>
      <c r="N231" s="18"/>
      <c r="O231" s="12"/>
      <c r="P231" s="11"/>
      <c r="Q231" s="19"/>
      <c r="R231" s="19"/>
      <c r="S231" s="19"/>
      <c r="T231" s="17"/>
      <c r="U231" s="17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</row>
    <row r="232" ht="18.75" customHeight="1">
      <c r="A232" s="9" t="s">
        <v>7</v>
      </c>
      <c r="B232" s="10">
        <v>4.526374159008E12</v>
      </c>
      <c r="C232" s="10"/>
      <c r="D232" s="11" t="s">
        <v>563</v>
      </c>
      <c r="E232" s="12">
        <v>4.0</v>
      </c>
      <c r="F232" s="12">
        <v>441.0</v>
      </c>
      <c r="G232" s="13">
        <f t="shared" si="143"/>
        <v>1764</v>
      </c>
      <c r="H232" s="11"/>
      <c r="I232" s="11"/>
      <c r="J232" s="14">
        <v>45873.0</v>
      </c>
      <c r="K232" s="15"/>
      <c r="L232" s="15" t="s">
        <v>554</v>
      </c>
      <c r="M232" s="15"/>
      <c r="N232" s="18"/>
      <c r="O232" s="12"/>
      <c r="P232" s="11"/>
      <c r="Q232" s="19"/>
      <c r="R232" s="19"/>
      <c r="S232" s="19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</row>
    <row r="233" ht="18.75" customHeight="1">
      <c r="A233" s="9" t="s">
        <v>7</v>
      </c>
      <c r="B233" s="10">
        <v>4.526374159008E12</v>
      </c>
      <c r="C233" s="10"/>
      <c r="D233" s="11" t="s">
        <v>563</v>
      </c>
      <c r="E233" s="12">
        <v>20.0</v>
      </c>
      <c r="F233" s="12">
        <v>441.0</v>
      </c>
      <c r="G233" s="13">
        <f t="shared" si="143"/>
        <v>8820</v>
      </c>
      <c r="H233" s="11"/>
      <c r="I233" s="11"/>
      <c r="J233" s="14">
        <v>45873.0</v>
      </c>
      <c r="K233" s="15"/>
      <c r="L233" s="15" t="s">
        <v>554</v>
      </c>
      <c r="M233" s="15"/>
      <c r="N233" s="18"/>
      <c r="O233" s="12"/>
      <c r="P233" s="11"/>
      <c r="Q233" s="19"/>
      <c r="R233" s="19"/>
      <c r="S233" s="19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</row>
    <row r="234" ht="18.75" customHeight="1">
      <c r="A234" s="9" t="s">
        <v>7</v>
      </c>
      <c r="B234" s="10">
        <v>4.526374159008E12</v>
      </c>
      <c r="C234" s="10"/>
      <c r="D234" s="11" t="s">
        <v>563</v>
      </c>
      <c r="E234" s="12">
        <v>6.0</v>
      </c>
      <c r="F234" s="12">
        <v>441.0</v>
      </c>
      <c r="G234" s="13">
        <f t="shared" si="143"/>
        <v>2646</v>
      </c>
      <c r="H234" s="11"/>
      <c r="I234" s="11"/>
      <c r="J234" s="14">
        <v>45873.0</v>
      </c>
      <c r="K234" s="15"/>
      <c r="L234" s="15" t="s">
        <v>554</v>
      </c>
      <c r="M234" s="15"/>
      <c r="N234" s="18"/>
      <c r="O234" s="12"/>
      <c r="P234" s="11"/>
      <c r="Q234" s="19"/>
      <c r="R234" s="19"/>
      <c r="S234" s="19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</row>
    <row r="235" ht="18.75" customHeight="1">
      <c r="A235" s="9" t="s">
        <v>7</v>
      </c>
      <c r="B235" s="10">
        <v>4.526374159008E12</v>
      </c>
      <c r="C235" s="10"/>
      <c r="D235" s="11" t="s">
        <v>563</v>
      </c>
      <c r="E235" s="12">
        <v>15.0</v>
      </c>
      <c r="F235" s="12">
        <v>441.0</v>
      </c>
      <c r="G235" s="13">
        <f t="shared" si="143"/>
        <v>6615</v>
      </c>
      <c r="H235" s="11"/>
      <c r="I235" s="11"/>
      <c r="J235" s="14">
        <v>45873.0</v>
      </c>
      <c r="K235" s="15"/>
      <c r="L235" s="15" t="s">
        <v>554</v>
      </c>
      <c r="M235" s="15"/>
      <c r="N235" s="18"/>
      <c r="O235" s="12"/>
      <c r="P235" s="11"/>
      <c r="Q235" s="19"/>
      <c r="R235" s="19"/>
      <c r="S235" s="19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</row>
    <row r="236" ht="18.75" customHeight="1">
      <c r="A236" s="9" t="s">
        <v>7</v>
      </c>
      <c r="B236" s="10">
        <v>4.526374159008E12</v>
      </c>
      <c r="C236" s="10"/>
      <c r="D236" s="11" t="s">
        <v>563</v>
      </c>
      <c r="E236" s="12">
        <v>6.0</v>
      </c>
      <c r="F236" s="12">
        <v>441.0</v>
      </c>
      <c r="G236" s="13">
        <f t="shared" si="143"/>
        <v>2646</v>
      </c>
      <c r="H236" s="11"/>
      <c r="I236" s="11"/>
      <c r="J236" s="14">
        <v>45873.0</v>
      </c>
      <c r="K236" s="15"/>
      <c r="L236" s="15" t="s">
        <v>554</v>
      </c>
      <c r="M236" s="15"/>
      <c r="N236" s="18" t="s">
        <v>171</v>
      </c>
      <c r="O236" s="12" t="s">
        <v>18</v>
      </c>
      <c r="P236" s="11" t="s">
        <v>564</v>
      </c>
      <c r="Q236" s="19">
        <f t="shared" ref="Q236:R236" si="188">E236</f>
        <v>6</v>
      </c>
      <c r="R236" s="19">
        <f t="shared" si="188"/>
        <v>441</v>
      </c>
      <c r="S236" s="19">
        <f t="shared" ref="S236:S237" si="190">R236*Q236</f>
        <v>2646</v>
      </c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</row>
    <row r="237" ht="18.75" customHeight="1">
      <c r="A237" s="9" t="s">
        <v>7</v>
      </c>
      <c r="B237" s="10">
        <v>4.526374159008E12</v>
      </c>
      <c r="C237" s="10"/>
      <c r="D237" s="11" t="s">
        <v>563</v>
      </c>
      <c r="E237" s="12">
        <v>4.0</v>
      </c>
      <c r="F237" s="12">
        <v>441.0</v>
      </c>
      <c r="G237" s="13">
        <f t="shared" si="143"/>
        <v>1764</v>
      </c>
      <c r="H237" s="11"/>
      <c r="I237" s="11"/>
      <c r="J237" s="14">
        <v>45873.0</v>
      </c>
      <c r="K237" s="15"/>
      <c r="L237" s="15" t="s">
        <v>554</v>
      </c>
      <c r="M237" s="15"/>
      <c r="N237" s="18" t="s">
        <v>83</v>
      </c>
      <c r="O237" s="12" t="s">
        <v>18</v>
      </c>
      <c r="P237" s="11" t="s">
        <v>564</v>
      </c>
      <c r="Q237" s="19">
        <f t="shared" ref="Q237:R237" si="189">E237</f>
        <v>4</v>
      </c>
      <c r="R237" s="19">
        <f t="shared" si="189"/>
        <v>441</v>
      </c>
      <c r="S237" s="19">
        <f t="shared" si="190"/>
        <v>1764</v>
      </c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</row>
    <row r="238" ht="18.75" customHeight="1">
      <c r="A238" s="9" t="s">
        <v>7</v>
      </c>
      <c r="B238" s="10">
        <v>4.5263740591E12</v>
      </c>
      <c r="C238" s="10"/>
      <c r="D238" s="11" t="s">
        <v>565</v>
      </c>
      <c r="E238" s="12">
        <v>20.0</v>
      </c>
      <c r="F238" s="12">
        <v>750.0</v>
      </c>
      <c r="G238" s="13">
        <f t="shared" si="143"/>
        <v>15000</v>
      </c>
      <c r="H238" s="11"/>
      <c r="I238" s="11"/>
      <c r="J238" s="14">
        <v>45964.0</v>
      </c>
      <c r="K238" s="15"/>
      <c r="L238" s="15" t="s">
        <v>554</v>
      </c>
      <c r="M238" s="15"/>
      <c r="N238" s="18"/>
      <c r="O238" s="12"/>
      <c r="P238" s="11"/>
      <c r="Q238" s="19"/>
      <c r="R238" s="19"/>
      <c r="S238" s="19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</row>
    <row r="239" ht="18.75" customHeight="1">
      <c r="A239" s="9" t="s">
        <v>7</v>
      </c>
      <c r="B239" s="10">
        <v>4.5263740591E12</v>
      </c>
      <c r="C239" s="10"/>
      <c r="D239" s="11" t="s">
        <v>565</v>
      </c>
      <c r="E239" s="12">
        <v>9.0</v>
      </c>
      <c r="F239" s="12">
        <v>750.0</v>
      </c>
      <c r="G239" s="13">
        <f t="shared" si="143"/>
        <v>6750</v>
      </c>
      <c r="H239" s="11"/>
      <c r="I239" s="11"/>
      <c r="J239" s="14">
        <v>45964.0</v>
      </c>
      <c r="K239" s="15"/>
      <c r="L239" s="15" t="s">
        <v>554</v>
      </c>
      <c r="M239" s="15"/>
      <c r="N239" s="18"/>
      <c r="O239" s="12"/>
      <c r="P239" s="11"/>
      <c r="Q239" s="19"/>
      <c r="R239" s="19"/>
      <c r="S239" s="19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</row>
    <row r="240" ht="18.75" customHeight="1">
      <c r="A240" s="9" t="s">
        <v>7</v>
      </c>
      <c r="B240" s="10">
        <v>4.5263740591E12</v>
      </c>
      <c r="C240" s="10"/>
      <c r="D240" s="11" t="s">
        <v>565</v>
      </c>
      <c r="E240" s="12">
        <v>6.0</v>
      </c>
      <c r="F240" s="12">
        <v>750.0</v>
      </c>
      <c r="G240" s="13">
        <f t="shared" si="143"/>
        <v>4500</v>
      </c>
      <c r="H240" s="11"/>
      <c r="I240" s="11"/>
      <c r="J240" s="14">
        <v>45964.0</v>
      </c>
      <c r="K240" s="15"/>
      <c r="L240" s="15" t="s">
        <v>554</v>
      </c>
      <c r="M240" s="15"/>
      <c r="N240" s="18" t="s">
        <v>171</v>
      </c>
      <c r="O240" s="12" t="s">
        <v>18</v>
      </c>
      <c r="P240" s="11" t="s">
        <v>566</v>
      </c>
      <c r="Q240" s="19">
        <f t="shared" ref="Q240:R240" si="191">E240</f>
        <v>6</v>
      </c>
      <c r="R240" s="19">
        <f t="shared" si="191"/>
        <v>750</v>
      </c>
      <c r="S240" s="19">
        <f t="shared" ref="S240:S260" si="193">R240*Q240</f>
        <v>4500</v>
      </c>
      <c r="T240" s="17">
        <v>20.9</v>
      </c>
      <c r="U240" s="17" t="s">
        <v>567</v>
      </c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</row>
    <row r="241" ht="16.5" customHeight="1">
      <c r="A241" s="9" t="s">
        <v>42</v>
      </c>
      <c r="B241" s="10">
        <v>4.571324246482E12</v>
      </c>
      <c r="C241" s="10"/>
      <c r="D241" s="11" t="s">
        <v>568</v>
      </c>
      <c r="E241" s="12">
        <v>2.0</v>
      </c>
      <c r="F241" s="12">
        <v>2940.0</v>
      </c>
      <c r="G241" s="13">
        <f t="shared" si="143"/>
        <v>5880</v>
      </c>
      <c r="H241" s="11"/>
      <c r="I241" s="11"/>
      <c r="J241" s="14">
        <v>45973.0</v>
      </c>
      <c r="K241" s="15"/>
      <c r="L241" s="15" t="s">
        <v>569</v>
      </c>
      <c r="M241" s="15"/>
      <c r="N241" s="18" t="s">
        <v>570</v>
      </c>
      <c r="O241" s="12" t="s">
        <v>29</v>
      </c>
      <c r="P241" s="11" t="s">
        <v>571</v>
      </c>
      <c r="Q241" s="19">
        <f t="shared" ref="Q241:R241" si="192">E241</f>
        <v>2</v>
      </c>
      <c r="R241" s="19">
        <f t="shared" si="192"/>
        <v>2940</v>
      </c>
      <c r="S241" s="19">
        <f t="shared" si="193"/>
        <v>5880</v>
      </c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</row>
    <row r="242" ht="16.5" customHeight="1">
      <c r="A242" s="9" t="s">
        <v>42</v>
      </c>
      <c r="B242" s="10">
        <v>4.571324246475E12</v>
      </c>
      <c r="C242" s="10"/>
      <c r="D242" s="11" t="s">
        <v>572</v>
      </c>
      <c r="E242" s="12">
        <v>2.0</v>
      </c>
      <c r="F242" s="12">
        <v>2940.0</v>
      </c>
      <c r="G242" s="13">
        <f t="shared" si="143"/>
        <v>5880</v>
      </c>
      <c r="H242" s="11"/>
      <c r="I242" s="11"/>
      <c r="J242" s="14">
        <v>45973.0</v>
      </c>
      <c r="K242" s="15"/>
      <c r="L242" s="15" t="s">
        <v>569</v>
      </c>
      <c r="M242" s="15"/>
      <c r="N242" s="18" t="s">
        <v>570</v>
      </c>
      <c r="O242" s="12" t="s">
        <v>29</v>
      </c>
      <c r="P242" s="11" t="s">
        <v>573</v>
      </c>
      <c r="Q242" s="19">
        <f t="shared" ref="Q242:R242" si="194">E242</f>
        <v>2</v>
      </c>
      <c r="R242" s="19">
        <f t="shared" si="194"/>
        <v>2940</v>
      </c>
      <c r="S242" s="19">
        <f t="shared" si="193"/>
        <v>5880</v>
      </c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</row>
    <row r="243" ht="16.5" customHeight="1">
      <c r="A243" s="9" t="s">
        <v>42</v>
      </c>
      <c r="B243" s="10">
        <v>4.571324246468E12</v>
      </c>
      <c r="C243" s="10"/>
      <c r="D243" s="11" t="s">
        <v>574</v>
      </c>
      <c r="E243" s="12">
        <v>2.0</v>
      </c>
      <c r="F243" s="12">
        <v>552.0</v>
      </c>
      <c r="G243" s="13">
        <f t="shared" si="143"/>
        <v>1104</v>
      </c>
      <c r="H243" s="11"/>
      <c r="I243" s="11"/>
      <c r="J243" s="14">
        <v>45973.0</v>
      </c>
      <c r="K243" s="15"/>
      <c r="L243" s="15" t="s">
        <v>569</v>
      </c>
      <c r="M243" s="15"/>
      <c r="N243" s="18" t="s">
        <v>43</v>
      </c>
      <c r="O243" s="12" t="s">
        <v>29</v>
      </c>
      <c r="P243" s="11" t="s">
        <v>575</v>
      </c>
      <c r="Q243" s="19">
        <f t="shared" ref="Q243:R243" si="195">E243</f>
        <v>2</v>
      </c>
      <c r="R243" s="19">
        <f t="shared" si="195"/>
        <v>552</v>
      </c>
      <c r="S243" s="19">
        <f t="shared" si="193"/>
        <v>1104</v>
      </c>
      <c r="T243" s="17">
        <v>9.8</v>
      </c>
      <c r="U243" s="17" t="s">
        <v>576</v>
      </c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</row>
    <row r="244" ht="16.5" customHeight="1">
      <c r="A244" s="9" t="s">
        <v>42</v>
      </c>
      <c r="B244" s="10">
        <v>4.571324246451E12</v>
      </c>
      <c r="C244" s="10"/>
      <c r="D244" s="11" t="s">
        <v>577</v>
      </c>
      <c r="E244" s="12">
        <v>2.0</v>
      </c>
      <c r="F244" s="12">
        <v>612.0</v>
      </c>
      <c r="G244" s="13">
        <f t="shared" si="143"/>
        <v>1224</v>
      </c>
      <c r="H244" s="11"/>
      <c r="I244" s="11"/>
      <c r="J244" s="14">
        <v>45973.0</v>
      </c>
      <c r="K244" s="15"/>
      <c r="L244" s="15" t="s">
        <v>569</v>
      </c>
      <c r="M244" s="15"/>
      <c r="N244" s="18" t="s">
        <v>43</v>
      </c>
      <c r="O244" s="12" t="s">
        <v>29</v>
      </c>
      <c r="P244" s="11" t="s">
        <v>578</v>
      </c>
      <c r="Q244" s="19">
        <f t="shared" ref="Q244:R244" si="196">E244</f>
        <v>2</v>
      </c>
      <c r="R244" s="19">
        <f t="shared" si="196"/>
        <v>612</v>
      </c>
      <c r="S244" s="19">
        <f t="shared" si="193"/>
        <v>1224</v>
      </c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</row>
    <row r="245" ht="16.5" customHeight="1">
      <c r="A245" s="9" t="s">
        <v>42</v>
      </c>
      <c r="B245" s="10">
        <v>4.571324246444E12</v>
      </c>
      <c r="C245" s="10"/>
      <c r="D245" s="11" t="s">
        <v>579</v>
      </c>
      <c r="E245" s="12">
        <v>2.0</v>
      </c>
      <c r="F245" s="12">
        <v>648.0</v>
      </c>
      <c r="G245" s="13">
        <f t="shared" si="143"/>
        <v>1296</v>
      </c>
      <c r="H245" s="11"/>
      <c r="I245" s="11"/>
      <c r="J245" s="14">
        <v>45973.0</v>
      </c>
      <c r="K245" s="15"/>
      <c r="L245" s="15" t="s">
        <v>569</v>
      </c>
      <c r="M245" s="15"/>
      <c r="N245" s="18" t="s">
        <v>60</v>
      </c>
      <c r="O245" s="12" t="s">
        <v>29</v>
      </c>
      <c r="P245" s="11" t="s">
        <v>580</v>
      </c>
      <c r="Q245" s="19">
        <f t="shared" ref="Q245:R245" si="197">E245</f>
        <v>2</v>
      </c>
      <c r="R245" s="19">
        <f t="shared" si="197"/>
        <v>648</v>
      </c>
      <c r="S245" s="19">
        <f t="shared" si="193"/>
        <v>1296</v>
      </c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</row>
    <row r="246" ht="16.5" customHeight="1">
      <c r="A246" s="9" t="s">
        <v>42</v>
      </c>
      <c r="B246" s="10">
        <v>4.571324246246E12</v>
      </c>
      <c r="C246" s="10"/>
      <c r="D246" s="11" t="s">
        <v>581</v>
      </c>
      <c r="E246" s="12">
        <v>3.0</v>
      </c>
      <c r="F246" s="12">
        <v>1920.0</v>
      </c>
      <c r="G246" s="13">
        <f t="shared" si="143"/>
        <v>5760</v>
      </c>
      <c r="H246" s="11"/>
      <c r="I246" s="11"/>
      <c r="J246" s="14">
        <v>45973.0</v>
      </c>
      <c r="K246" s="15"/>
      <c r="L246" s="15" t="s">
        <v>569</v>
      </c>
      <c r="M246" s="15"/>
      <c r="N246" s="18" t="s">
        <v>570</v>
      </c>
      <c r="O246" s="12" t="s">
        <v>29</v>
      </c>
      <c r="P246" s="11" t="s">
        <v>582</v>
      </c>
      <c r="Q246" s="19">
        <f t="shared" ref="Q246:R246" si="198">E246</f>
        <v>3</v>
      </c>
      <c r="R246" s="19">
        <f t="shared" si="198"/>
        <v>1920</v>
      </c>
      <c r="S246" s="19">
        <f t="shared" si="193"/>
        <v>5760</v>
      </c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</row>
    <row r="247" ht="16.5" customHeight="1">
      <c r="A247" s="9" t="s">
        <v>42</v>
      </c>
      <c r="B247" s="10">
        <v>4.57132424527E12</v>
      </c>
      <c r="C247" s="10"/>
      <c r="D247" s="11" t="s">
        <v>583</v>
      </c>
      <c r="E247" s="12">
        <v>1.0</v>
      </c>
      <c r="F247" s="12">
        <v>1620.0</v>
      </c>
      <c r="G247" s="13">
        <f t="shared" si="143"/>
        <v>1620</v>
      </c>
      <c r="H247" s="11"/>
      <c r="I247" s="11"/>
      <c r="J247" s="14">
        <v>45973.0</v>
      </c>
      <c r="K247" s="15"/>
      <c r="L247" s="15" t="s">
        <v>569</v>
      </c>
      <c r="M247" s="15"/>
      <c r="N247" s="18" t="s">
        <v>570</v>
      </c>
      <c r="O247" s="12" t="s">
        <v>29</v>
      </c>
      <c r="P247" s="11" t="s">
        <v>584</v>
      </c>
      <c r="Q247" s="19">
        <f t="shared" ref="Q247:R247" si="199">E247</f>
        <v>1</v>
      </c>
      <c r="R247" s="19">
        <f t="shared" si="199"/>
        <v>1620</v>
      </c>
      <c r="S247" s="19">
        <f t="shared" si="193"/>
        <v>1620</v>
      </c>
      <c r="T247" s="17">
        <v>24.9</v>
      </c>
      <c r="U247" s="17" t="s">
        <v>585</v>
      </c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</row>
    <row r="248" ht="16.5" customHeight="1">
      <c r="A248" s="9" t="s">
        <v>34</v>
      </c>
      <c r="B248" s="10">
        <v>4.571324244143E12</v>
      </c>
      <c r="C248" s="10"/>
      <c r="D248" s="11" t="s">
        <v>586</v>
      </c>
      <c r="E248" s="12">
        <v>5.0</v>
      </c>
      <c r="F248" s="12">
        <v>2400.0</v>
      </c>
      <c r="G248" s="13">
        <f t="shared" si="143"/>
        <v>12000</v>
      </c>
      <c r="H248" s="11"/>
      <c r="I248" s="11"/>
      <c r="J248" s="14">
        <v>45974.0</v>
      </c>
      <c r="K248" s="15"/>
      <c r="L248" s="15" t="s">
        <v>569</v>
      </c>
      <c r="M248" s="15"/>
      <c r="N248" s="18" t="s">
        <v>178</v>
      </c>
      <c r="O248" s="12" t="s">
        <v>29</v>
      </c>
      <c r="P248" s="11" t="s">
        <v>587</v>
      </c>
      <c r="Q248" s="19">
        <f t="shared" ref="Q248:R248" si="200">E248</f>
        <v>5</v>
      </c>
      <c r="R248" s="19">
        <f t="shared" si="200"/>
        <v>2400</v>
      </c>
      <c r="S248" s="19">
        <f t="shared" si="193"/>
        <v>12000</v>
      </c>
      <c r="T248" s="17">
        <v>10.8</v>
      </c>
      <c r="U248" s="17" t="s">
        <v>117</v>
      </c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</row>
    <row r="249" ht="16.5" customHeight="1">
      <c r="A249" s="9" t="s">
        <v>34</v>
      </c>
      <c r="B249" s="10">
        <v>4.571324243399E12</v>
      </c>
      <c r="C249" s="10"/>
      <c r="D249" s="11" t="s">
        <v>588</v>
      </c>
      <c r="E249" s="12">
        <v>1.0</v>
      </c>
      <c r="F249" s="12">
        <v>1056.0</v>
      </c>
      <c r="G249" s="13">
        <f t="shared" si="143"/>
        <v>1056</v>
      </c>
      <c r="H249" s="11"/>
      <c r="I249" s="11"/>
      <c r="J249" s="14">
        <v>45978.0</v>
      </c>
      <c r="K249" s="15"/>
      <c r="L249" s="15" t="s">
        <v>569</v>
      </c>
      <c r="M249" s="15"/>
      <c r="N249" s="18" t="s">
        <v>372</v>
      </c>
      <c r="O249" s="12" t="s">
        <v>29</v>
      </c>
      <c r="P249" s="11" t="s">
        <v>589</v>
      </c>
      <c r="Q249" s="19">
        <f t="shared" ref="Q249:R249" si="201">E249</f>
        <v>1</v>
      </c>
      <c r="R249" s="19">
        <f t="shared" si="201"/>
        <v>1056</v>
      </c>
      <c r="S249" s="19">
        <f t="shared" si="193"/>
        <v>1056</v>
      </c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</row>
    <row r="250" ht="18.75" customHeight="1">
      <c r="A250" s="9" t="s">
        <v>42</v>
      </c>
      <c r="B250" s="10">
        <v>4.57132424329E12</v>
      </c>
      <c r="C250" s="10"/>
      <c r="D250" s="11" t="s">
        <v>590</v>
      </c>
      <c r="E250" s="12">
        <v>1.0</v>
      </c>
      <c r="F250" s="12">
        <v>1780.0</v>
      </c>
      <c r="G250" s="13">
        <f t="shared" si="143"/>
        <v>1780</v>
      </c>
      <c r="H250" s="11"/>
      <c r="I250" s="11"/>
      <c r="J250" s="14">
        <v>45973.0</v>
      </c>
      <c r="K250" s="15"/>
      <c r="L250" s="15" t="s">
        <v>569</v>
      </c>
      <c r="M250" s="15"/>
      <c r="N250" s="18" t="s">
        <v>570</v>
      </c>
      <c r="O250" s="12" t="s">
        <v>29</v>
      </c>
      <c r="P250" s="11" t="s">
        <v>591</v>
      </c>
      <c r="Q250" s="19">
        <f t="shared" ref="Q250:R250" si="202">E250</f>
        <v>1</v>
      </c>
      <c r="R250" s="19">
        <f t="shared" si="202"/>
        <v>1780</v>
      </c>
      <c r="S250" s="19">
        <f t="shared" si="193"/>
        <v>1780</v>
      </c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</row>
    <row r="251" ht="18.75" customHeight="1">
      <c r="A251" s="9" t="s">
        <v>34</v>
      </c>
      <c r="B251" s="10">
        <v>4.571324243184E12</v>
      </c>
      <c r="C251" s="10"/>
      <c r="D251" s="11" t="s">
        <v>592</v>
      </c>
      <c r="E251" s="12">
        <v>5.0</v>
      </c>
      <c r="F251" s="12">
        <v>2760.0</v>
      </c>
      <c r="G251" s="13">
        <f t="shared" si="143"/>
        <v>13800</v>
      </c>
      <c r="H251" s="11"/>
      <c r="I251" s="11"/>
      <c r="J251" s="14">
        <v>45973.0</v>
      </c>
      <c r="K251" s="15"/>
      <c r="L251" s="15" t="s">
        <v>569</v>
      </c>
      <c r="M251" s="15"/>
      <c r="N251" s="18" t="s">
        <v>470</v>
      </c>
      <c r="O251" s="12" t="s">
        <v>29</v>
      </c>
      <c r="P251" s="11" t="s">
        <v>593</v>
      </c>
      <c r="Q251" s="19">
        <f t="shared" ref="Q251:R251" si="203">E251</f>
        <v>5</v>
      </c>
      <c r="R251" s="19">
        <f t="shared" si="203"/>
        <v>2760</v>
      </c>
      <c r="S251" s="19">
        <f t="shared" si="193"/>
        <v>13800</v>
      </c>
      <c r="T251" s="17">
        <v>24.7</v>
      </c>
      <c r="U251" s="17" t="s">
        <v>335</v>
      </c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</row>
    <row r="252" ht="18.75" customHeight="1">
      <c r="A252" s="9" t="s">
        <v>42</v>
      </c>
      <c r="B252" s="10">
        <v>4.571324243184E12</v>
      </c>
      <c r="C252" s="10"/>
      <c r="D252" s="11" t="s">
        <v>592</v>
      </c>
      <c r="E252" s="12">
        <v>2.0</v>
      </c>
      <c r="F252" s="12">
        <v>2760.0</v>
      </c>
      <c r="G252" s="13">
        <f t="shared" si="143"/>
        <v>5520</v>
      </c>
      <c r="H252" s="11"/>
      <c r="I252" s="11"/>
      <c r="J252" s="14">
        <v>45973.0</v>
      </c>
      <c r="K252" s="15"/>
      <c r="L252" s="15" t="s">
        <v>569</v>
      </c>
      <c r="M252" s="15"/>
      <c r="N252" s="18" t="s">
        <v>570</v>
      </c>
      <c r="O252" s="12" t="s">
        <v>29</v>
      </c>
      <c r="P252" s="11" t="s">
        <v>593</v>
      </c>
      <c r="Q252" s="19">
        <f t="shared" ref="Q252:R252" si="204">E252</f>
        <v>2</v>
      </c>
      <c r="R252" s="19">
        <f t="shared" si="204"/>
        <v>2760</v>
      </c>
      <c r="S252" s="19">
        <f t="shared" si="193"/>
        <v>5520</v>
      </c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</row>
    <row r="253" ht="18.75" customHeight="1">
      <c r="A253" s="9" t="s">
        <v>42</v>
      </c>
      <c r="B253" s="10">
        <v>4.571324242699E12</v>
      </c>
      <c r="C253" s="10"/>
      <c r="D253" s="11" t="s">
        <v>594</v>
      </c>
      <c r="E253" s="12">
        <v>10.0</v>
      </c>
      <c r="F253" s="12">
        <v>2400.0</v>
      </c>
      <c r="G253" s="13">
        <f t="shared" si="143"/>
        <v>24000</v>
      </c>
      <c r="H253" s="11"/>
      <c r="I253" s="11"/>
      <c r="J253" s="14">
        <v>45973.0</v>
      </c>
      <c r="K253" s="15"/>
      <c r="L253" s="15" t="s">
        <v>569</v>
      </c>
      <c r="M253" s="15"/>
      <c r="N253" s="18" t="s">
        <v>570</v>
      </c>
      <c r="O253" s="12" t="s">
        <v>29</v>
      </c>
      <c r="P253" s="11" t="s">
        <v>595</v>
      </c>
      <c r="Q253" s="19">
        <f t="shared" ref="Q253:R253" si="205">E253</f>
        <v>10</v>
      </c>
      <c r="R253" s="19">
        <f t="shared" si="205"/>
        <v>2400</v>
      </c>
      <c r="S253" s="19">
        <f t="shared" si="193"/>
        <v>24000</v>
      </c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</row>
    <row r="254" ht="18.75" customHeight="1">
      <c r="A254" s="9" t="s">
        <v>42</v>
      </c>
      <c r="B254" s="10">
        <v>4.571324242194E12</v>
      </c>
      <c r="C254" s="10"/>
      <c r="D254" s="11" t="s">
        <v>596</v>
      </c>
      <c r="E254" s="12">
        <v>5.0</v>
      </c>
      <c r="F254" s="12">
        <v>1056.0</v>
      </c>
      <c r="G254" s="13">
        <f t="shared" si="143"/>
        <v>5280</v>
      </c>
      <c r="H254" s="11"/>
      <c r="I254" s="11"/>
      <c r="J254" s="14">
        <v>45973.0</v>
      </c>
      <c r="K254" s="15"/>
      <c r="L254" s="15" t="s">
        <v>569</v>
      </c>
      <c r="M254" s="15"/>
      <c r="N254" s="18" t="s">
        <v>60</v>
      </c>
      <c r="O254" s="12" t="s">
        <v>29</v>
      </c>
      <c r="P254" s="11" t="s">
        <v>597</v>
      </c>
      <c r="Q254" s="19">
        <f t="shared" ref="Q254:R254" si="206">E254</f>
        <v>5</v>
      </c>
      <c r="R254" s="19">
        <f t="shared" si="206"/>
        <v>1056</v>
      </c>
      <c r="S254" s="19">
        <f t="shared" si="193"/>
        <v>5280</v>
      </c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</row>
    <row r="255" ht="18.75" customHeight="1">
      <c r="A255" s="9" t="s">
        <v>42</v>
      </c>
      <c r="B255" s="10">
        <v>4.571324241661E12</v>
      </c>
      <c r="C255" s="10"/>
      <c r="D255" s="11" t="s">
        <v>598</v>
      </c>
      <c r="E255" s="12">
        <v>5.0</v>
      </c>
      <c r="F255" s="12">
        <v>1680.0</v>
      </c>
      <c r="G255" s="13">
        <f t="shared" si="143"/>
        <v>8400</v>
      </c>
      <c r="H255" s="11"/>
      <c r="I255" s="11"/>
      <c r="J255" s="14">
        <v>45973.0</v>
      </c>
      <c r="K255" s="15"/>
      <c r="L255" s="15" t="s">
        <v>569</v>
      </c>
      <c r="M255" s="15"/>
      <c r="N255" s="18" t="s">
        <v>60</v>
      </c>
      <c r="O255" s="12" t="s">
        <v>29</v>
      </c>
      <c r="P255" s="11" t="s">
        <v>599</v>
      </c>
      <c r="Q255" s="19">
        <f t="shared" ref="Q255:R255" si="207">E255</f>
        <v>5</v>
      </c>
      <c r="R255" s="19">
        <f t="shared" si="207"/>
        <v>1680</v>
      </c>
      <c r="S255" s="19">
        <f t="shared" si="193"/>
        <v>8400</v>
      </c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</row>
    <row r="256" ht="18.75" customHeight="1">
      <c r="A256" s="9" t="s">
        <v>42</v>
      </c>
      <c r="B256" s="10">
        <v>4.571324241173E12</v>
      </c>
      <c r="C256" s="10"/>
      <c r="D256" s="11" t="s">
        <v>600</v>
      </c>
      <c r="E256" s="12">
        <v>14.0</v>
      </c>
      <c r="F256" s="12">
        <v>2400.0</v>
      </c>
      <c r="G256" s="13">
        <f t="shared" si="143"/>
        <v>33600</v>
      </c>
      <c r="H256" s="11"/>
      <c r="I256" s="11"/>
      <c r="J256" s="14">
        <v>45973.0</v>
      </c>
      <c r="K256" s="15"/>
      <c r="L256" s="15" t="s">
        <v>569</v>
      </c>
      <c r="M256" s="15"/>
      <c r="N256" s="18" t="s">
        <v>601</v>
      </c>
      <c r="O256" s="12" t="s">
        <v>29</v>
      </c>
      <c r="P256" s="11" t="s">
        <v>602</v>
      </c>
      <c r="Q256" s="19">
        <f t="shared" ref="Q256:R256" si="208">E256</f>
        <v>14</v>
      </c>
      <c r="R256" s="19">
        <f t="shared" si="208"/>
        <v>2400</v>
      </c>
      <c r="S256" s="19">
        <f t="shared" si="193"/>
        <v>33600</v>
      </c>
      <c r="T256" s="17">
        <v>15.8</v>
      </c>
      <c r="U256" s="17" t="s">
        <v>603</v>
      </c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</row>
    <row r="257" ht="18.75" customHeight="1">
      <c r="A257" s="9" t="s">
        <v>42</v>
      </c>
      <c r="B257" s="10">
        <v>4.571324241173E12</v>
      </c>
      <c r="C257" s="10"/>
      <c r="D257" s="11" t="s">
        <v>600</v>
      </c>
      <c r="E257" s="12">
        <v>1.0</v>
      </c>
      <c r="F257" s="12">
        <v>2400.0</v>
      </c>
      <c r="G257" s="13">
        <f t="shared" si="143"/>
        <v>2400</v>
      </c>
      <c r="H257" s="11"/>
      <c r="I257" s="11"/>
      <c r="J257" s="14">
        <v>45973.0</v>
      </c>
      <c r="K257" s="15"/>
      <c r="L257" s="15" t="s">
        <v>569</v>
      </c>
      <c r="M257" s="15"/>
      <c r="N257" s="18" t="s">
        <v>570</v>
      </c>
      <c r="O257" s="12" t="s">
        <v>29</v>
      </c>
      <c r="P257" s="11" t="s">
        <v>602</v>
      </c>
      <c r="Q257" s="19">
        <f t="shared" ref="Q257:R257" si="209">E257</f>
        <v>1</v>
      </c>
      <c r="R257" s="19">
        <f t="shared" si="209"/>
        <v>2400</v>
      </c>
      <c r="S257" s="19">
        <f t="shared" si="193"/>
        <v>2400</v>
      </c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</row>
    <row r="258" ht="18.75" customHeight="1">
      <c r="A258" s="9" t="s">
        <v>42</v>
      </c>
      <c r="B258" s="10">
        <v>4.57132424105E12</v>
      </c>
      <c r="C258" s="10"/>
      <c r="D258" s="11" t="s">
        <v>604</v>
      </c>
      <c r="E258" s="12">
        <v>2.0</v>
      </c>
      <c r="F258" s="12">
        <v>396.0</v>
      </c>
      <c r="G258" s="13">
        <f t="shared" si="143"/>
        <v>792</v>
      </c>
      <c r="H258" s="11"/>
      <c r="I258" s="11"/>
      <c r="J258" s="14">
        <v>45973.0</v>
      </c>
      <c r="K258" s="15"/>
      <c r="L258" s="15" t="s">
        <v>569</v>
      </c>
      <c r="M258" s="15"/>
      <c r="N258" s="18" t="s">
        <v>570</v>
      </c>
      <c r="O258" s="12" t="s">
        <v>18</v>
      </c>
      <c r="P258" s="11" t="s">
        <v>605</v>
      </c>
      <c r="Q258" s="19">
        <f t="shared" ref="Q258:R258" si="210">E258</f>
        <v>2</v>
      </c>
      <c r="R258" s="19">
        <f t="shared" si="210"/>
        <v>396</v>
      </c>
      <c r="S258" s="19">
        <f t="shared" si="193"/>
        <v>792</v>
      </c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</row>
    <row r="259" ht="18.75" customHeight="1">
      <c r="A259" s="9" t="s">
        <v>42</v>
      </c>
      <c r="B259" s="10">
        <v>4.571324240831E12</v>
      </c>
      <c r="C259" s="10"/>
      <c r="D259" s="11" t="s">
        <v>606</v>
      </c>
      <c r="E259" s="12">
        <v>5.0</v>
      </c>
      <c r="F259" s="12">
        <v>1680.0</v>
      </c>
      <c r="G259" s="13">
        <f t="shared" si="143"/>
        <v>8400</v>
      </c>
      <c r="H259" s="11"/>
      <c r="I259" s="11"/>
      <c r="J259" s="14">
        <v>45973.0</v>
      </c>
      <c r="K259" s="15"/>
      <c r="L259" s="15" t="s">
        <v>569</v>
      </c>
      <c r="M259" s="15"/>
      <c r="N259" s="18" t="s">
        <v>60</v>
      </c>
      <c r="O259" s="12" t="s">
        <v>29</v>
      </c>
      <c r="P259" s="11" t="s">
        <v>607</v>
      </c>
      <c r="Q259" s="19">
        <f t="shared" ref="Q259:R259" si="211">E259</f>
        <v>5</v>
      </c>
      <c r="R259" s="19">
        <f t="shared" si="211"/>
        <v>1680</v>
      </c>
      <c r="S259" s="19">
        <f t="shared" si="193"/>
        <v>8400</v>
      </c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</row>
    <row r="260" ht="18.75" customHeight="1">
      <c r="A260" s="9" t="s">
        <v>42</v>
      </c>
      <c r="B260" s="10">
        <v>4.571324240831E12</v>
      </c>
      <c r="C260" s="10"/>
      <c r="D260" s="11" t="s">
        <v>606</v>
      </c>
      <c r="E260" s="12">
        <v>2.0</v>
      </c>
      <c r="F260" s="12">
        <v>1680.0</v>
      </c>
      <c r="G260" s="13">
        <f t="shared" si="143"/>
        <v>3360</v>
      </c>
      <c r="H260" s="11"/>
      <c r="I260" s="11"/>
      <c r="J260" s="14">
        <v>45973.0</v>
      </c>
      <c r="K260" s="15"/>
      <c r="L260" s="15" t="s">
        <v>569</v>
      </c>
      <c r="M260" s="15"/>
      <c r="N260" s="18" t="s">
        <v>570</v>
      </c>
      <c r="O260" s="12" t="s">
        <v>29</v>
      </c>
      <c r="P260" s="11" t="s">
        <v>607</v>
      </c>
      <c r="Q260" s="19">
        <f t="shared" ref="Q260:R260" si="212">E260</f>
        <v>2</v>
      </c>
      <c r="R260" s="19">
        <f t="shared" si="212"/>
        <v>1680</v>
      </c>
      <c r="S260" s="19">
        <f t="shared" si="193"/>
        <v>3360</v>
      </c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</row>
    <row r="261" ht="18.75" customHeight="1">
      <c r="A261" s="9" t="s">
        <v>34</v>
      </c>
      <c r="B261" s="10">
        <v>4.571324240817E12</v>
      </c>
      <c r="C261" s="10"/>
      <c r="D261" s="11" t="s">
        <v>608</v>
      </c>
      <c r="E261" s="12">
        <v>1.0</v>
      </c>
      <c r="F261" s="12">
        <v>6120.0</v>
      </c>
      <c r="G261" s="13">
        <f t="shared" si="143"/>
        <v>6120</v>
      </c>
      <c r="H261" s="11"/>
      <c r="I261" s="11"/>
      <c r="J261" s="14">
        <v>45961.0</v>
      </c>
      <c r="K261" s="15"/>
      <c r="L261" s="15" t="s">
        <v>569</v>
      </c>
      <c r="M261" s="15"/>
      <c r="N261" s="18"/>
      <c r="O261" s="12"/>
      <c r="P261" s="11"/>
      <c r="Q261" s="19"/>
      <c r="R261" s="19"/>
      <c r="S261" s="19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</row>
    <row r="262" ht="18.75" customHeight="1">
      <c r="A262" s="9" t="s">
        <v>34</v>
      </c>
      <c r="B262" s="10">
        <v>4.571324240817E12</v>
      </c>
      <c r="C262" s="10"/>
      <c r="D262" s="11" t="s">
        <v>608</v>
      </c>
      <c r="E262" s="12">
        <v>2.0</v>
      </c>
      <c r="F262" s="12">
        <v>6120.0</v>
      </c>
      <c r="G262" s="13">
        <f t="shared" si="143"/>
        <v>12240</v>
      </c>
      <c r="H262" s="11"/>
      <c r="I262" s="11"/>
      <c r="J262" s="14">
        <v>45973.0</v>
      </c>
      <c r="K262" s="15"/>
      <c r="L262" s="15" t="s">
        <v>569</v>
      </c>
      <c r="M262" s="15"/>
      <c r="N262" s="18" t="s">
        <v>470</v>
      </c>
      <c r="O262" s="12" t="s">
        <v>29</v>
      </c>
      <c r="P262" s="11" t="s">
        <v>609</v>
      </c>
      <c r="Q262" s="19">
        <f t="shared" ref="Q262:R262" si="213">E262</f>
        <v>2</v>
      </c>
      <c r="R262" s="19">
        <f t="shared" si="213"/>
        <v>6120</v>
      </c>
      <c r="S262" s="19">
        <f t="shared" ref="S262:S266" si="215">R262*Q262</f>
        <v>12240</v>
      </c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</row>
    <row r="263" ht="18.75" customHeight="1">
      <c r="A263" s="9" t="s">
        <v>34</v>
      </c>
      <c r="B263" s="10">
        <v>4.571324240664E12</v>
      </c>
      <c r="C263" s="10"/>
      <c r="D263" s="11" t="s">
        <v>610</v>
      </c>
      <c r="E263" s="12">
        <v>20.0</v>
      </c>
      <c r="F263" s="12">
        <v>588.0</v>
      </c>
      <c r="G263" s="13">
        <f t="shared" si="143"/>
        <v>11760</v>
      </c>
      <c r="H263" s="11"/>
      <c r="I263" s="11"/>
      <c r="J263" s="14">
        <v>45973.0</v>
      </c>
      <c r="K263" s="15"/>
      <c r="L263" s="15" t="s">
        <v>569</v>
      </c>
      <c r="M263" s="15"/>
      <c r="N263" s="18" t="s">
        <v>470</v>
      </c>
      <c r="O263" s="12" t="s">
        <v>29</v>
      </c>
      <c r="P263" s="11" t="s">
        <v>611</v>
      </c>
      <c r="Q263" s="19">
        <f t="shared" ref="Q263:R263" si="214">E263</f>
        <v>20</v>
      </c>
      <c r="R263" s="19">
        <f t="shared" si="214"/>
        <v>588</v>
      </c>
      <c r="S263" s="19">
        <f t="shared" si="215"/>
        <v>11760</v>
      </c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</row>
    <row r="264" ht="18.75" customHeight="1">
      <c r="A264" s="9" t="s">
        <v>34</v>
      </c>
      <c r="B264" s="10">
        <v>4.571324240657E12</v>
      </c>
      <c r="C264" s="10"/>
      <c r="D264" s="11" t="s">
        <v>612</v>
      </c>
      <c r="E264" s="12">
        <v>20.0</v>
      </c>
      <c r="F264" s="12">
        <v>588.0</v>
      </c>
      <c r="G264" s="13">
        <f t="shared" si="143"/>
        <v>11760</v>
      </c>
      <c r="H264" s="11"/>
      <c r="I264" s="11"/>
      <c r="J264" s="14">
        <v>45973.0</v>
      </c>
      <c r="K264" s="15"/>
      <c r="L264" s="15" t="s">
        <v>569</v>
      </c>
      <c r="M264" s="15"/>
      <c r="N264" s="18" t="s">
        <v>470</v>
      </c>
      <c r="O264" s="12" t="s">
        <v>29</v>
      </c>
      <c r="P264" s="11" t="s">
        <v>613</v>
      </c>
      <c r="Q264" s="19">
        <f t="shared" ref="Q264:R264" si="216">E264</f>
        <v>20</v>
      </c>
      <c r="R264" s="19">
        <f t="shared" si="216"/>
        <v>588</v>
      </c>
      <c r="S264" s="19">
        <f t="shared" si="215"/>
        <v>11760</v>
      </c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</row>
    <row r="265" ht="16.5" customHeight="1">
      <c r="A265" s="9" t="s">
        <v>34</v>
      </c>
      <c r="B265" s="10">
        <v>4.571324240374E12</v>
      </c>
      <c r="C265" s="10"/>
      <c r="D265" s="11" t="s">
        <v>614</v>
      </c>
      <c r="E265" s="12">
        <v>10.0</v>
      </c>
      <c r="F265" s="12">
        <v>420.0</v>
      </c>
      <c r="G265" s="13">
        <f t="shared" si="143"/>
        <v>4200</v>
      </c>
      <c r="H265" s="11"/>
      <c r="I265" s="11"/>
      <c r="J265" s="14">
        <v>45973.0</v>
      </c>
      <c r="K265" s="15"/>
      <c r="L265" s="15" t="s">
        <v>569</v>
      </c>
      <c r="M265" s="15"/>
      <c r="N265" s="18" t="s">
        <v>470</v>
      </c>
      <c r="O265" s="12" t="s">
        <v>29</v>
      </c>
      <c r="P265" s="11" t="s">
        <v>615</v>
      </c>
      <c r="Q265" s="19">
        <f t="shared" ref="Q265:R265" si="217">E265</f>
        <v>10</v>
      </c>
      <c r="R265" s="19">
        <f t="shared" si="217"/>
        <v>420</v>
      </c>
      <c r="S265" s="19">
        <f t="shared" si="215"/>
        <v>4200</v>
      </c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</row>
    <row r="266" ht="16.5" customHeight="1">
      <c r="A266" s="9" t="s">
        <v>34</v>
      </c>
      <c r="B266" s="10">
        <v>4.57132424035E12</v>
      </c>
      <c r="C266" s="10"/>
      <c r="D266" s="11" t="s">
        <v>616</v>
      </c>
      <c r="E266" s="12">
        <v>15.0</v>
      </c>
      <c r="F266" s="12">
        <v>420.0</v>
      </c>
      <c r="G266" s="13">
        <f t="shared" si="143"/>
        <v>6300</v>
      </c>
      <c r="H266" s="11"/>
      <c r="I266" s="11"/>
      <c r="J266" s="14">
        <v>45973.0</v>
      </c>
      <c r="K266" s="15"/>
      <c r="L266" s="15" t="s">
        <v>569</v>
      </c>
      <c r="M266" s="15"/>
      <c r="N266" s="18" t="s">
        <v>470</v>
      </c>
      <c r="O266" s="12" t="s">
        <v>29</v>
      </c>
      <c r="P266" s="11" t="s">
        <v>617</v>
      </c>
      <c r="Q266" s="19">
        <f t="shared" ref="Q266:R266" si="218">E266</f>
        <v>15</v>
      </c>
      <c r="R266" s="19">
        <f t="shared" si="218"/>
        <v>420</v>
      </c>
      <c r="S266" s="19">
        <f t="shared" si="215"/>
        <v>6300</v>
      </c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</row>
    <row r="267" ht="16.5" customHeight="1">
      <c r="A267" s="11"/>
      <c r="B267" s="11"/>
      <c r="C267" s="11"/>
      <c r="D267" s="11"/>
      <c r="E267" s="42"/>
      <c r="F267" s="43"/>
      <c r="G267" s="42"/>
      <c r="H267" s="11"/>
      <c r="I267" s="11"/>
      <c r="J267" s="12"/>
      <c r="K267" s="8"/>
      <c r="L267" s="8"/>
      <c r="M267" s="8"/>
      <c r="N267" s="11"/>
      <c r="O267" s="11"/>
      <c r="P267" s="11"/>
      <c r="Q267" s="11">
        <f>SUM(Q143:Q266)</f>
        <v>658</v>
      </c>
      <c r="R267" s="11"/>
      <c r="S267" s="11">
        <f>SUM(S143:S266)</f>
        <v>1037651</v>
      </c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</row>
    <row r="268" ht="16.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N268" s="44"/>
      <c r="O268" s="44"/>
      <c r="P268" s="44"/>
      <c r="Q268" s="44"/>
      <c r="R268" s="44"/>
      <c r="S268" s="44"/>
    </row>
    <row r="269" ht="16.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N269" s="44"/>
      <c r="O269" s="44"/>
      <c r="P269" s="44"/>
      <c r="Q269" s="44"/>
      <c r="R269" s="44"/>
      <c r="S269" s="44"/>
    </row>
    <row r="270" ht="18.75" customHeight="1">
      <c r="A270" s="8"/>
      <c r="B270" s="8"/>
      <c r="C270" s="8"/>
      <c r="D270" s="8"/>
      <c r="E270" s="42"/>
      <c r="F270" s="43"/>
      <c r="G270" s="42"/>
      <c r="H270" s="8"/>
      <c r="I270" s="8"/>
      <c r="J270" s="15"/>
      <c r="K270" s="8"/>
      <c r="L270" s="8"/>
      <c r="M270" s="8"/>
      <c r="N270" s="8"/>
      <c r="O270" s="8"/>
      <c r="P270" s="8"/>
      <c r="Q270" s="8">
        <f>SUM(Q134:Q269)</f>
        <v>1388</v>
      </c>
      <c r="R270" s="8"/>
      <c r="S270" s="8">
        <f>SUM(S134:S269)</f>
        <v>2271953</v>
      </c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</row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2023-06-22T05:26:58Z</dcterms:created>
  <dc:creator>HST-RICKY</dc:creator>
</cp:coreProperties>
</file>